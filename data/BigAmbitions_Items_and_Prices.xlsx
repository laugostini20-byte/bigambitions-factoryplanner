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  <sheet sheetId="2" name="Importers" state="visible" r:id="rId5"/>
    <sheet sheetId="3" name="Recipe Ingredients" state="visible" r:id="rId6"/>
    <sheet sheetId="4" name="Recipes" state="visible" r:id="rId7"/>
    <sheet sheetId="5" name="Business Types" state="visible" r:id="rId8"/>
    <sheet sheetId="6" name="Furniture &amp; Equipment" state="visible" r:id="rId9"/>
    <sheet sheetId="7" name="Read Me" state="visible" r:id="rId10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1" authorId="0">
      <text>
        <r>
          <t>Base importer price from the game data (Item.wholesalePrice). In-game price = base x market price index for that product (shortages / surpluses events) x difficulty market multiplier. Purchasing agents can negotiate discounts on top.</t>
        </r>
      </text>
    </comment>
    <comment ref="F1" authorId="0">
      <text>
        <r>
          <t>Game default market price (Item.defaultMarketPrice). The game's "optimal" price in a neighborhood = this x the neighborhood average price index (+30% if you have a monopoly). Raw materials are not sold to customers, so they have no selling price.</t>
        </r>
      </text>
    </comment>
    <comment ref="K1" authorId="0">
      <text>
        <r>
          <t>Item.maxOrderAmountPerImporter: the most you can order from one importer per week before it counts against their stock.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1" authorId="0">
      <text>
        <r>
          <t>Recipe output amount. The factory simulator runs each staffed workstation once per in-game hour; actual output = this x (factory skill / 2 + 50)%, i.e. 50% at skill 0 and 100% at skill 100. Ingredients consumed are the full recipe amounts.</t>
        </r>
      </text>
    </comment>
    <comment ref="F1" authorId="0">
      <text>
        <r>
          <t>Uses importer prices for every ingredient (even ones you could grow/make yourself, e.g. tomatoes).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" authorId="0">
      <text>
        <r>
          <t>businessProducts[].impact: how much this product contributes to the business type's customer demand (1 = full).</t>
        </r>
      </text>
    </comment>
  </commentList>
</comments>
</file>

<file path=xl/sharedStrings.xml><?xml version="1.0" encoding="utf-8"?>
<sst xmlns="http://schemas.openxmlformats.org/spreadsheetml/2006/main" count="4261" uniqueCount="1560">
  <si>
    <t>Item</t>
  </si>
  <si>
    <t>Item ID (game)</t>
  </si>
  <si>
    <t>Category</t>
  </si>
  <si>
    <t>Importer(s)  (* = only with "all products" setting)</t>
  </si>
  <si>
    <t>Import Price ($/unit)</t>
  </si>
  <si>
    <t>Avg Selling Price ($/unit)</t>
  </si>
  <si>
    <t>Gross Profit ($/unit)</t>
  </si>
  <si>
    <t>Gross Margin %</t>
  </si>
  <si>
    <t>Units per Box</t>
  </si>
  <si>
    <t>Cost per Box ($)</t>
  </si>
  <si>
    <t>Max Import Order / Importer / Week</t>
  </si>
  <si>
    <t>Can Be Made in Factory?</t>
  </si>
  <si>
    <t>Used as Factory Input?</t>
  </si>
  <si>
    <t>Sold By (business types)</t>
  </si>
  <si>
    <t>Baking Mix</t>
  </si>
  <si>
    <t>ba:itemname_bakingmix</t>
  </si>
  <si>
    <t>Raw Material</t>
  </si>
  <si>
    <t>Lunar Tide Shipments</t>
  </si>
  <si>
    <t>No</t>
  </si>
  <si>
    <t>Yes</t>
  </si>
  <si>
    <t/>
  </si>
  <si>
    <t>Barley</t>
  </si>
  <si>
    <t>ba:itemname_barley</t>
  </si>
  <si>
    <t>Aquatic Bay Cargo</t>
  </si>
  <si>
    <t>Battery</t>
  </si>
  <si>
    <t>ba:itemname_battery</t>
  </si>
  <si>
    <t>Maritime Freight Line</t>
  </si>
  <si>
    <t>Blue Agave</t>
  </si>
  <si>
    <t>ba:itemname_blueagave</t>
  </si>
  <si>
    <t>Butter</t>
  </si>
  <si>
    <t>ba:itemname_butter</t>
  </si>
  <si>
    <t>Caffeine Extract</t>
  </si>
  <si>
    <t>ba:itemname_caffeineextract</t>
  </si>
  <si>
    <t>Capacitors</t>
  </si>
  <si>
    <t>ba:itemname_capacitors</t>
  </si>
  <si>
    <t>Carbon Dioxide</t>
  </si>
  <si>
    <t>ba:itemname_carbondioxide</t>
  </si>
  <si>
    <t>Cheese</t>
  </si>
  <si>
    <t>ba:itemname_cheese</t>
  </si>
  <si>
    <t>Chicken Breast</t>
  </si>
  <si>
    <t>ba:itemname_chickenbreast</t>
  </si>
  <si>
    <t>Cigar Paper</t>
  </si>
  <si>
    <t>ba:itemname_cigarpaper</t>
  </si>
  <si>
    <t>Global Harvest Traders</t>
  </si>
  <si>
    <t>Cigarette Paper</t>
  </si>
  <si>
    <t>ba:itemname_cigarettepaper</t>
  </si>
  <si>
    <t>Clay</t>
  </si>
  <si>
    <t>ba:itemname_clay</t>
  </si>
  <si>
    <t>Cola Flavoring</t>
  </si>
  <si>
    <t>ba:itemname_colaflavoring</t>
  </si>
  <si>
    <t>Copper Clad Laminate</t>
  </si>
  <si>
    <t>ba:itemname_coppercladlaminate</t>
  </si>
  <si>
    <t>Dough</t>
  </si>
  <si>
    <t>ba:itemname_dough</t>
  </si>
  <si>
    <t>Fabric (Cheap)</t>
  </si>
  <si>
    <t>ba:itemname_fabriccheap</t>
  </si>
  <si>
    <t>Fabric (Expensive)</t>
  </si>
  <si>
    <t>ba:itemname_fabricexpensive</t>
  </si>
  <si>
    <t>Flavor Syrup</t>
  </si>
  <si>
    <t>ba:itemname_flavorsyrup</t>
  </si>
  <si>
    <t>Glass</t>
  </si>
  <si>
    <t>ba:itemname_glass</t>
  </si>
  <si>
    <t>Global Harvest Traders, Maritime Freight Line</t>
  </si>
  <si>
    <t>Grapes</t>
  </si>
  <si>
    <t>ba:itemname_grapes</t>
  </si>
  <si>
    <t>Ground Beef</t>
  </si>
  <si>
    <t>ba:itemname_groundbeef</t>
  </si>
  <si>
    <t>Ground Coffee Beans</t>
  </si>
  <si>
    <t>ba:itemname_groundcoffeebeans</t>
  </si>
  <si>
    <t>Hair Care Formula</t>
  </si>
  <si>
    <t>ba:itemname_haircareformula</t>
  </si>
  <si>
    <t>Hops</t>
  </si>
  <si>
    <t>ba:itemname_hops</t>
  </si>
  <si>
    <t>Integrated Circuits</t>
  </si>
  <si>
    <t>ba:itemname_integratedcircuits</t>
  </si>
  <si>
    <t>Juniper Berries</t>
  </si>
  <si>
    <t>ba:itemname_juniperberries</t>
  </si>
  <si>
    <t>Lime Juice</t>
  </si>
  <si>
    <t>ba:itemname_limejuice</t>
  </si>
  <si>
    <t>Metal Band</t>
  </si>
  <si>
    <t>ba:itemname_metalband</t>
  </si>
  <si>
    <t>Metal Wire</t>
  </si>
  <si>
    <t>ba:itemname_metalwire</t>
  </si>
  <si>
    <t>Microphone</t>
  </si>
  <si>
    <t>ba:itemname_microphone</t>
  </si>
  <si>
    <t>Milk</t>
  </si>
  <si>
    <t>ba:itemname_milk</t>
  </si>
  <si>
    <t>Onion</t>
  </si>
  <si>
    <t>ba:itemname_onion</t>
  </si>
  <si>
    <t>Paper Ream</t>
  </si>
  <si>
    <t>ba:itemname_paper</t>
  </si>
  <si>
    <t>Pepper</t>
  </si>
  <si>
    <t>ba:itemname_pepper</t>
  </si>
  <si>
    <t>Plastic</t>
  </si>
  <si>
    <t>ba:itemname_plastic</t>
  </si>
  <si>
    <t>Popcorn Kernels</t>
  </si>
  <si>
    <t>ba:itemname_cornkernels</t>
  </si>
  <si>
    <t>Raw Sausage</t>
  </si>
  <si>
    <t>ba:itemname_rawsausage</t>
  </si>
  <si>
    <t>Resistors</t>
  </si>
  <si>
    <t>ba:itemname_resistors</t>
  </si>
  <si>
    <t>Russet Potatoes</t>
  </si>
  <si>
    <t>ba:itemname_russetpotatoes</t>
  </si>
  <si>
    <t>Seeds (Apple)</t>
  </si>
  <si>
    <t>ba:itemname_appleseeds</t>
  </si>
  <si>
    <t>Seeds (Banana)</t>
  </si>
  <si>
    <t>ba:itemname_bananaseeds</t>
  </si>
  <si>
    <t>Seeds (Carrot)</t>
  </si>
  <si>
    <t>ba:itemname_carrotseeds</t>
  </si>
  <si>
    <t>Seeds (Flower Cheap)</t>
  </si>
  <si>
    <t>ba:itemname_flowercheapseeds</t>
  </si>
  <si>
    <t>Seeds (Flower Expensive)</t>
  </si>
  <si>
    <t>ba:itemname_flowerexpensiveseeds</t>
  </si>
  <si>
    <t>Seeds (Lettuce)</t>
  </si>
  <si>
    <t>ba:itemname_lettuceseeds</t>
  </si>
  <si>
    <t>Seeds (Pear)</t>
  </si>
  <si>
    <t>ba:itemname_pearseeds</t>
  </si>
  <si>
    <t>Seeds (Tomato)</t>
  </si>
  <si>
    <t>ba:itemname_tomatoseeds</t>
  </si>
  <si>
    <t>Speaker</t>
  </si>
  <si>
    <t>ba:itemname_speaker</t>
  </si>
  <si>
    <t>Sugar</t>
  </si>
  <si>
    <t>ba:itemname_sugar</t>
  </si>
  <si>
    <t>Lunar Tide Shipments, Aquatic Bay Cargo</t>
  </si>
  <si>
    <t>Tea Leaves</t>
  </si>
  <si>
    <t>ba:itemname_tealeaves</t>
  </si>
  <si>
    <t>Tobacco</t>
  </si>
  <si>
    <t>ba:itemname_tobacco</t>
  </si>
  <si>
    <t>Transistors</t>
  </si>
  <si>
    <t>ba:itemname_transistors</t>
  </si>
  <si>
    <t>Uncut Gems (Cheap)</t>
  </si>
  <si>
    <t>ba:itemname_uncutgemscheap</t>
  </si>
  <si>
    <t>Uncut Gems (Expensive)</t>
  </si>
  <si>
    <t>ba:itemname_uncutgemsexpensive</t>
  </si>
  <si>
    <t>Vermouth</t>
  </si>
  <si>
    <t>ba:itemname_vermouth</t>
  </si>
  <si>
    <t>Vinaigrette</t>
  </si>
  <si>
    <t>ba:itemname_vinaigrette</t>
  </si>
  <si>
    <t>Water</t>
  </si>
  <si>
    <t>ba:itemname_water</t>
  </si>
  <si>
    <t>Global Harvest Traders, Aquatic Bay Cargo</t>
  </si>
  <si>
    <t>Yeast</t>
  </si>
  <si>
    <t>ba:itemname_yeast</t>
  </si>
  <si>
    <t>Bag of Lettuce</t>
  </si>
  <si>
    <t>ba:itemname_lettuce</t>
  </si>
  <si>
    <t>Finished Good (also raw input)</t>
  </si>
  <si>
    <t>Lunar Tide Shipments, SeaSide Internationals</t>
  </si>
  <si>
    <t>Supermarket, Fruit And Vegetable Store</t>
  </si>
  <si>
    <t>Bag of Tomatoes</t>
  </si>
  <si>
    <t>ba:itemname_tomato</t>
  </si>
  <si>
    <t>Arty Fish Phone</t>
  </si>
  <si>
    <t>ba:itemname_smartphone1</t>
  </si>
  <si>
    <t>Finished Good</t>
  </si>
  <si>
    <t>BlueStone Imports*</t>
  </si>
  <si>
    <t>Electronics Store</t>
  </si>
  <si>
    <t>Arty Fish Smartwatch</t>
  </si>
  <si>
    <t>ba:itemname_smartwatch2</t>
  </si>
  <si>
    <t>Gift Shop, Electronics Store, Jewelry Store</t>
  </si>
  <si>
    <t>Bag of Apples</t>
  </si>
  <si>
    <t>ba:itemname_apple</t>
  </si>
  <si>
    <t>SeaSide Internationals</t>
  </si>
  <si>
    <t>Supermarket, Fast Food Restaurant, Coffee Shop, Fruit And Vegetable Store</t>
  </si>
  <si>
    <t>Bag of Bananas</t>
  </si>
  <si>
    <t>ba:itemname_banana</t>
  </si>
  <si>
    <t>Bag of Carrots</t>
  </si>
  <si>
    <t>ba:itemname_carrot</t>
  </si>
  <si>
    <t>Bag of Pears</t>
  </si>
  <si>
    <t>ba:itemname_pear</t>
  </si>
  <si>
    <t>Beer</t>
  </si>
  <si>
    <t>ba:itemname_beer</t>
  </si>
  <si>
    <t>United Ocean Import</t>
  </si>
  <si>
    <t>Liquor Store, Nightclub</t>
  </si>
  <si>
    <t>Bottle of Wine</t>
  </si>
  <si>
    <t>ba:itemname_bottleofwine</t>
  </si>
  <si>
    <t>Liquor Store, Supermarket</t>
  </si>
  <si>
    <t>Burger</t>
  </si>
  <si>
    <t>ba:itemname_burger</t>
  </si>
  <si>
    <t>JetCargo Imports</t>
  </si>
  <si>
    <t>Fast Food Restaurant</t>
  </si>
  <si>
    <t>Cheese Platter</t>
  </si>
  <si>
    <t>ba:itemname_cheeseplatter</t>
  </si>
  <si>
    <t>Theater</t>
  </si>
  <si>
    <t>Chicken Kabob Skewer</t>
  </si>
  <si>
    <t>ba:itemname_kabob</t>
  </si>
  <si>
    <t>Cigar</t>
  </si>
  <si>
    <t>ba:itemname_cigar</t>
  </si>
  <si>
    <t>Liquor Store</t>
  </si>
  <si>
    <t>Clothing (Classic Cheap Female)</t>
  </si>
  <si>
    <t>ba:itemname_classiccheapfemaleclothing</t>
  </si>
  <si>
    <t>Clothing Store</t>
  </si>
  <si>
    <t>Clothing (Classic Cheap Male)</t>
  </si>
  <si>
    <t>ba:itemname_classiccheapmaleclothing</t>
  </si>
  <si>
    <t>Clothing (Classic Expensive Female)</t>
  </si>
  <si>
    <t>ba:itemname_classicexpensivefemaleclothing</t>
  </si>
  <si>
    <t>United Ocean Import*</t>
  </si>
  <si>
    <t>Clothing (Classic Expensive Male)</t>
  </si>
  <si>
    <t>ba:itemname_classicexpensivemaleclothing</t>
  </si>
  <si>
    <t>Clothing (Modern Cheap Female)</t>
  </si>
  <si>
    <t>ba:itemname_moderncheapfemaleclothing</t>
  </si>
  <si>
    <t>Clothing (Modern Cheap Male)</t>
  </si>
  <si>
    <t>ba:itemname_moderncheapmaleclothing</t>
  </si>
  <si>
    <t>Clothing (Modern Expensive Female)</t>
  </si>
  <si>
    <t>ba:itemname_modernexpensivefemaleclothing</t>
  </si>
  <si>
    <t>Clothing (Modern Expensive Male)</t>
  </si>
  <si>
    <t>ba:itemname_modernexpensivemaleclothing</t>
  </si>
  <si>
    <t>Cotton Candy</t>
  </si>
  <si>
    <t>ba:itemname_cottoncandy</t>
  </si>
  <si>
    <t>Cinema</t>
  </si>
  <si>
    <t>Croissant</t>
  </si>
  <si>
    <t>ba:itemname_croissant</t>
  </si>
  <si>
    <t>Supermarket, Coffee Shop</t>
  </si>
  <si>
    <t>Cup Of Coffee</t>
  </si>
  <si>
    <t>ba:itemname_cupofcoffee</t>
  </si>
  <si>
    <t>Coffee Shop</t>
  </si>
  <si>
    <t>Cup of Tea</t>
  </si>
  <si>
    <t>ba:itemname_cupoftea</t>
  </si>
  <si>
    <t>Cupcake</t>
  </si>
  <si>
    <t>ba:itemname_cupcake</t>
  </si>
  <si>
    <t>Donut</t>
  </si>
  <si>
    <t>ba:itemname_donut</t>
  </si>
  <si>
    <t>Energy Drink</t>
  </si>
  <si>
    <t>ba:itemname_energydrink</t>
  </si>
  <si>
    <t>Gym, Liquor Store, Supermarket, Florist, Gift Shop, Electronics Store, Nightclub</t>
  </si>
  <si>
    <t>Flower (Cheap)</t>
  </si>
  <si>
    <t>ba:itemname_cheapflower</t>
  </si>
  <si>
    <t>Florist, Gift Shop, Bookstore</t>
  </si>
  <si>
    <t>Flower (Expensive)</t>
  </si>
  <si>
    <t>ba:itemname_expensiveflower</t>
  </si>
  <si>
    <t>Florist, Gift Shop</t>
  </si>
  <si>
    <t>French Fries</t>
  </si>
  <si>
    <t>ba:itemname_frenchfries</t>
  </si>
  <si>
    <t>Fresh Food</t>
  </si>
  <si>
    <t>ba:itemname_freshfood</t>
  </si>
  <si>
    <t>Supermarket</t>
  </si>
  <si>
    <t>Frozen Food</t>
  </si>
  <si>
    <t>ba:itemname_frozenfood</t>
  </si>
  <si>
    <t>Gift (Cheap)</t>
  </si>
  <si>
    <t>ba:itemname_cheapgift</t>
  </si>
  <si>
    <t>BlueStone Imports</t>
  </si>
  <si>
    <t>Gift (Expensive)</t>
  </si>
  <si>
    <t>ba:itemname_expensivegift</t>
  </si>
  <si>
    <t>Hair Care Product</t>
  </si>
  <si>
    <t>ba:itemname_haircareproduct</t>
  </si>
  <si>
    <t>Hairdresser</t>
  </si>
  <si>
    <t>Hotdog</t>
  </si>
  <si>
    <t>ba:itemname_hotdog</t>
  </si>
  <si>
    <t>Ice Cream</t>
  </si>
  <si>
    <t>ba:itemname_icecream</t>
  </si>
  <si>
    <t>Supermarket, Fast Food Restaurant, Coffee Shop</t>
  </si>
  <si>
    <t>Jewelry (Cheap)</t>
  </si>
  <si>
    <t>ba:itemname_cheapjewelry</t>
  </si>
  <si>
    <t>Clothing Store, Jewelry Store</t>
  </si>
  <si>
    <t>Jewelry (Expensive)</t>
  </si>
  <si>
    <t>ba:itemname_expensivejewelry</t>
  </si>
  <si>
    <t>Limited Edition Book</t>
  </si>
  <si>
    <t>ba:itemname_limitededitionbook</t>
  </si>
  <si>
    <t>Bookstore</t>
  </si>
  <si>
    <t>Margarita</t>
  </si>
  <si>
    <t>ba:itemname_margarita</t>
  </si>
  <si>
    <t>Martini</t>
  </si>
  <si>
    <t>ba:itemname_martini</t>
  </si>
  <si>
    <t>Liquor Store, Nightclub, Theater</t>
  </si>
  <si>
    <t>Motivational Book</t>
  </si>
  <si>
    <t>ba:itemname_motivationalbook</t>
  </si>
  <si>
    <t>Noize Boss Earbuds</t>
  </si>
  <si>
    <t>ba:itemname_earbuds01</t>
  </si>
  <si>
    <t>Gift Shop, Electronics Store, Bookstore</t>
  </si>
  <si>
    <t>Novel</t>
  </si>
  <si>
    <t>ba:itemname_novel</t>
  </si>
  <si>
    <t>Pack of Cigarettes</t>
  </si>
  <si>
    <t>ba:itemname_cigarette</t>
  </si>
  <si>
    <t>Picture Book</t>
  </si>
  <si>
    <t>ba:itemname_picturebook</t>
  </si>
  <si>
    <t>Pizza</t>
  </si>
  <si>
    <t>ba:itemname_pizza</t>
  </si>
  <si>
    <t>Popcorn</t>
  </si>
  <si>
    <t>ba:itemname_popcorn</t>
  </si>
  <si>
    <t>Cinema, Theater</t>
  </si>
  <si>
    <t>Rhythm By Tre Headphones</t>
  </si>
  <si>
    <t>ba:itemname_headphones01</t>
  </si>
  <si>
    <t>Gift Shop, Electronics Store</t>
  </si>
  <si>
    <t>Salad</t>
  </si>
  <si>
    <t>ba:itemname_salad</t>
  </si>
  <si>
    <t>Fast Food Restaurant, Coffee Shop, Fruit And Vegetable Store</t>
  </si>
  <si>
    <t>Slushie</t>
  </si>
  <si>
    <t>ba:itemname_slushi</t>
  </si>
  <si>
    <t>Soda Can</t>
  </si>
  <si>
    <t>ba:itemname_sodacan</t>
  </si>
  <si>
    <t>SeaSide Internationals, JetCargo Imports, United Ocean Import, BlueStone Imports</t>
  </si>
  <si>
    <t>Gym, Liquor Store, Supermarket, Florist, Fast Food Restaurant, Coffee Shop, Gift Shop, Electronics Store, Nightclub, Cinema</t>
  </si>
  <si>
    <t>Technical Manual</t>
  </si>
  <si>
    <t>ba:itemname_technicalmanual</t>
  </si>
  <si>
    <t>Umbrella</t>
  </si>
  <si>
    <t>ba:itemname_umbrella</t>
  </si>
  <si>
    <t>Whisky</t>
  </si>
  <si>
    <t>ba:itemname_whisky</t>
  </si>
  <si>
    <t>Youth Novel</t>
  </si>
  <si>
    <t>ba:itemname_youngnovel</t>
  </si>
  <si>
    <t>ZanaMan Phone</t>
  </si>
  <si>
    <t>ba:itemname_smartphone2</t>
  </si>
  <si>
    <t>ZanaMan Smartwatch</t>
  </si>
  <si>
    <t>ba:itemname_smartwatch1</t>
  </si>
  <si>
    <t>Cinema Ticket</t>
  </si>
  <si>
    <t>ba:itemname_cinematicket</t>
  </si>
  <si>
    <t>Service</t>
  </si>
  <si>
    <t>n/a (service)</t>
  </si>
  <si>
    <t>Coat Check Fee</t>
  </si>
  <si>
    <t>ba:itemname_coatcheckfee</t>
  </si>
  <si>
    <t>Nightclub</t>
  </si>
  <si>
    <t>Event Planning Fee (Hourly)</t>
  </si>
  <si>
    <t>ba:itemname_hourlyeventplanningfee</t>
  </si>
  <si>
    <t>Event Planning Agency</t>
  </si>
  <si>
    <t>Graphic Designer Fee (Hourly)</t>
  </si>
  <si>
    <t>ba:itemname_hourlygraphicdesignerfee</t>
  </si>
  <si>
    <t>Graphic Designer</t>
  </si>
  <si>
    <t>Gym Cover Charge</t>
  </si>
  <si>
    <t>ba:itemname_gymcovercharge</t>
  </si>
  <si>
    <t>Gym</t>
  </si>
  <si>
    <t>Hair Chemical / Color Fee</t>
  </si>
  <si>
    <t>ba:itemname_hairchemicalfee</t>
  </si>
  <si>
    <t>Hair Cutting Fee</t>
  </si>
  <si>
    <t>ba:itemname_haircuttingfee</t>
  </si>
  <si>
    <t>Hair Shampooing &amp; Blowout Fee</t>
  </si>
  <si>
    <t>ba:itemname_hairshampooingfee</t>
  </si>
  <si>
    <t>Hair Styling Fee</t>
  </si>
  <si>
    <t>ba:itemname_hairstylingfee</t>
  </si>
  <si>
    <t>Lawyer Fee (Hourly)</t>
  </si>
  <si>
    <t>ba:itemname_hourlylawyerfee</t>
  </si>
  <si>
    <t>Law Firm</t>
  </si>
  <si>
    <t>Nightclub Weekday Cover Charge</t>
  </si>
  <si>
    <t>ba:itemname_nightclubweekdaycovercharge</t>
  </si>
  <si>
    <t>Nightclub Weekend Cover Charge</t>
  </si>
  <si>
    <t>ba:itemname_nightclubweekendcovercharge</t>
  </si>
  <si>
    <t>Programmer Fee (Hourly)</t>
  </si>
  <si>
    <t>ba:itemname_hourlyprogrammerfee</t>
  </si>
  <si>
    <t>Web Development Agency</t>
  </si>
  <si>
    <t>Theater Ticket</t>
  </si>
  <si>
    <t>ba:itemname_theaterticket</t>
  </si>
  <si>
    <t>Travel Consultant Fee (Hourly)</t>
  </si>
  <si>
    <t>ba:itemname_hourlytravelconsultantfee</t>
  </si>
  <si>
    <t>Travel Agency</t>
  </si>
  <si>
    <t>Paper Bag</t>
  </si>
  <si>
    <t>ba:itemname_paperbag</t>
  </si>
  <si>
    <t>Supply / Other</t>
  </si>
  <si>
    <t>Sliced Onion</t>
  </si>
  <si>
    <t>ba:itemname_slicedonions</t>
  </si>
  <si>
    <t>Not sold by importers</t>
  </si>
  <si>
    <t>Importer</t>
  </si>
  <si>
    <t>Importer Type</t>
  </si>
  <si>
    <t>Availability</t>
  </si>
  <si>
    <t>Can Go on Shortage?</t>
  </si>
  <si>
    <t>Raw Materials</t>
  </si>
  <si>
    <t>Standard</t>
  </si>
  <si>
    <t>Finished Goods</t>
  </si>
  <si>
    <t>Only with "all products from importers" setting</t>
  </si>
  <si>
    <t>Output Item</t>
  </si>
  <si>
    <t>Ingredient</t>
  </si>
  <si>
    <t>Qty per Hour (per workstation)</t>
  </si>
  <si>
    <t>Ingredient Import Price ($/unit)</t>
  </si>
  <si>
    <t>Ingredient Cost per Hour ($)</t>
  </si>
  <si>
    <t>Qty per 1 Unit of Output</t>
  </si>
  <si>
    <t>Ingredients (qty per hour)</t>
  </si>
  <si>
    <t>Output / Hour (skill 100)</t>
  </si>
  <si>
    <t>Output / Hour (skill 0)</t>
  </si>
  <si>
    <t>Machines Used</t>
  </si>
  <si>
    <t>Ingredient Cost per Unit ($, skill 100)</t>
  </si>
  <si>
    <t>Import Price of Output ($/unit)</t>
  </si>
  <si>
    <t>Profit per Unit if Sold ($)</t>
  </si>
  <si>
    <t>Saving vs Importing ($/unit)</t>
  </si>
  <si>
    <t>Gross Profit per Hour per Workstation ($)</t>
  </si>
  <si>
    <t>300 Resistors + 300 Transistors + 300 Capacitors + 60 Integrated Circuits + 30 Copper Clad Laminate + 30 Speaker + 30 Microphone + 30 Plastic + 30 Glass + 30 Battery</t>
  </si>
  <si>
    <t>Kiln Machine, Laser Cutting Machine, Consumer Goods Assembly Machine</t>
  </si>
  <si>
    <t>60 Resistors + 60 Transistors + 60 Capacitors + 30 Integrated Circuits + 30 Copper Clad Laminate + 30 Speaker + 30 Microphone + 5 Plastic + 5 Glass + 30 Battery</t>
  </si>
  <si>
    <t>50 Seeds (Apple) + 50 Water</t>
  </si>
  <si>
    <t>Hydroponic Planter, Food Assembly Machine</t>
  </si>
  <si>
    <t>50 Seeds (Banana) + 50 Water</t>
  </si>
  <si>
    <t>50 Seeds (Carrot) + 50 Water</t>
  </si>
  <si>
    <t>50 Seeds (Lettuce) + 50 Water</t>
  </si>
  <si>
    <t>50 Seeds (Pear) + 50 Water</t>
  </si>
  <si>
    <t>50 Seeds (Tomato) + 50 Water</t>
  </si>
  <si>
    <t>50 Water + 50 Barley + 50 Yeast + 50 Carbon Dioxide + 50 Hops</t>
  </si>
  <si>
    <t>Industrial Blending Machine, Bottling Machine, Food Assembly Machine</t>
  </si>
  <si>
    <t>100 Grapes + 50 Sugar + 50 Yeast</t>
  </si>
  <si>
    <t>200 Ground Beef + 200 Dough + 40 Cheese</t>
  </si>
  <si>
    <t>Industrial Blending Machine, Automated Baking Machine, Food Assembly Machine</t>
  </si>
  <si>
    <t>200 Cheese</t>
  </si>
  <si>
    <t>200 Chicken Breast + 100 Vinaigrette + 100 Onion + 100 Pepper</t>
  </si>
  <si>
    <t>20 Cigar Paper + 100 Tobacco</t>
  </si>
  <si>
    <t>Laser Cutting Machine, Consumer Goods Assembly Machine</t>
  </si>
  <si>
    <t>120 Fabric (Cheap)</t>
  </si>
  <si>
    <t>Laser Cutting Machine, Industrial Sewing Machine, Consumer Goods Assembly Machine</t>
  </si>
  <si>
    <t>60 Fabric (Expensive)</t>
  </si>
  <si>
    <t>200 Sugar</t>
  </si>
  <si>
    <t>Industrial Blending Machine, Food Assembly Machine</t>
  </si>
  <si>
    <t>200 Dough + 100 Butter</t>
  </si>
  <si>
    <t>250 Water + 250 Ground Coffee Beans</t>
  </si>
  <si>
    <t>250 Water + 250 Tea Leaves</t>
  </si>
  <si>
    <t>200 Baking Mix + 100 Milk + 100 Sugar</t>
  </si>
  <si>
    <t>Automated Baking Machine, Industrial Blending Machine, Food Assembly Machine</t>
  </si>
  <si>
    <t>100 Milk + 100 Sugar + 200 Dough</t>
  </si>
  <si>
    <t>250 Water + 250 Sugar + 250 Carbon Dioxide + 250 Caffeine Extract</t>
  </si>
  <si>
    <t>100 Seeds (Flower Cheap) + 100 Water</t>
  </si>
  <si>
    <t>100 Seeds (Flower Expensive) + 100 Water</t>
  </si>
  <si>
    <t>200 Russet Potatoes + 50 Bag of Tomatoes</t>
  </si>
  <si>
    <t>200 Ground Beef + 200 Russet Potatoes + 100 Bag of Tomatoes</t>
  </si>
  <si>
    <t>200 Chicken Breast + 100 Vinaigrette</t>
  </si>
  <si>
    <t>50 Clay</t>
  </si>
  <si>
    <t>100 Water + 100 Glass + 250 Plastic</t>
  </si>
  <si>
    <t>150 Water + 150 Hair Care Formula</t>
  </si>
  <si>
    <t>200 Raw Sausage + 200 Dough + 50 Bag of Tomatoes</t>
  </si>
  <si>
    <t>200 Sugar + 200 Milk</t>
  </si>
  <si>
    <t>60 Uncut Gems (Cheap) + 60 Metal Band</t>
  </si>
  <si>
    <t>Laser Cutting Machine, Polishing Machine, Consumer Goods Assembly Machine</t>
  </si>
  <si>
    <t>30 Uncut Gems (Expensive) + 30 Metal Band</t>
  </si>
  <si>
    <t>2 Paper Ream + 100 Fabric (Expensive)</t>
  </si>
  <si>
    <t>50 Water + 50 Barley + 50 Yeast + 100 Blue Agave + 50 Lime Juice</t>
  </si>
  <si>
    <t>50 Water + 50 Barley + 50 Yeast + 100 Juniper Berries + 50 Vermouth</t>
  </si>
  <si>
    <t>3 Paper Ream + 50 Fabric (Cheap)</t>
  </si>
  <si>
    <t>60 Resistors + 60 Transistors + 60 Capacitors + 60 Integrated Circuits + 10 Copper Clad Laminate + 120 Speaker + 60 Microphone + 10 Plastic</t>
  </si>
  <si>
    <t>20 Cigarette Paper + 100 Tobacco</t>
  </si>
  <si>
    <t>2 Paper Ream</t>
  </si>
  <si>
    <t>1 Paper Ream + 20 Fabric (Cheap)</t>
  </si>
  <si>
    <t>200 Dough + 100 Bag of Tomatoes + 200 Cheese</t>
  </si>
  <si>
    <t>200 Popcorn Kernels + 10 Butter</t>
  </si>
  <si>
    <t>120 Resistors + 120 Transistors + 120 Capacitors + 60 Integrated Circuits + 20 Copper Clad Laminate + 120 Speaker + 60 Microphone + 20 Plastic</t>
  </si>
  <si>
    <t>100 Vinaigrette + 200 Bag of Lettuce + 100 Bag of Tomatoes + 100 Pepper + 100 Onion</t>
  </si>
  <si>
    <t>250 Water + 250 Sugar + 250 Flavor Syrup</t>
  </si>
  <si>
    <t>250 Water + 250 Sugar + 250 Carbon Dioxide + 250 Cola Flavoring</t>
  </si>
  <si>
    <t>5 Paper Ream + 50 Fabric (Expensive)</t>
  </si>
  <si>
    <t>50 Plastic + 100 Metal Wire</t>
  </si>
  <si>
    <t>50 Water + 100 Barley + 50 Yeast</t>
  </si>
  <si>
    <t>Business Type</t>
  </si>
  <si>
    <t>Product</t>
  </si>
  <si>
    <t>Demand Impact</t>
  </si>
  <si>
    <t>Product Sources</t>
  </si>
  <si>
    <t>Wholesaler</t>
  </si>
  <si>
    <t>Importer, Factory</t>
  </si>
  <si>
    <t>Florist</t>
  </si>
  <si>
    <t>Fruit And Vegetable Store</t>
  </si>
  <si>
    <t>Gift Shop</t>
  </si>
  <si>
    <t>Wholesaler, Importer</t>
  </si>
  <si>
    <t>Jewelry Store</t>
  </si>
  <si>
    <t>Function</t>
  </si>
  <si>
    <t>Purchase Price ($)</t>
  </si>
  <si>
    <t>Added Customers / Hour</t>
  </si>
  <si>
    <t>Storage Capacity (boxes)</t>
  </si>
  <si>
    <t>Acoustic Panel 01</t>
  </si>
  <si>
    <t>ba:itemname_acousticpanel01</t>
  </si>
  <si>
    <t>Decoration</t>
  </si>
  <si>
    <t>Acoustic Panel 02</t>
  </si>
  <si>
    <t>ba:itemname_acousticpanel02</t>
  </si>
  <si>
    <t>Acoustic Panel 03</t>
  </si>
  <si>
    <t>ba:itemname_acousticpanel03</t>
  </si>
  <si>
    <t>Agave (Big)</t>
  </si>
  <si>
    <t>ba:itemname_agavebig</t>
  </si>
  <si>
    <t>Agave (Small)</t>
  </si>
  <si>
    <t>ba:itemname_agavesmall</t>
  </si>
  <si>
    <t>Air Conditioner</t>
  </si>
  <si>
    <t>ba:itemname_wallairconditionerinterior</t>
  </si>
  <si>
    <t>Arm Chair Luxury</t>
  </si>
  <si>
    <t>ba:itemname_armchairluxury</t>
  </si>
  <si>
    <t>Seat</t>
  </si>
  <si>
    <t>Automated Baking Machine</t>
  </si>
  <si>
    <t>ba:itemname_automatedbakingmachine</t>
  </si>
  <si>
    <t>Factory Machine</t>
  </si>
  <si>
    <t>Backstage Sign</t>
  </si>
  <si>
    <t>ba:itemname_backstagesign</t>
  </si>
  <si>
    <t>Bakery Showcase</t>
  </si>
  <si>
    <t>ba:itemname_bakeryshowcase</t>
  </si>
  <si>
    <t>Showcase Shelf</t>
  </si>
  <si>
    <t>Barbeque Grill</t>
  </si>
  <si>
    <t>ba:itemname_barbequegrill</t>
  </si>
  <si>
    <t>Barstool</t>
  </si>
  <si>
    <t>ba:itemname_barstool</t>
  </si>
  <si>
    <t>Basic Gaming PC Setup</t>
  </si>
  <si>
    <t>ba:itemname_gamingcomputer</t>
  </si>
  <si>
    <t>Workstation, Computer</t>
  </si>
  <si>
    <t>Basic Shelf (Wall Mounted)</t>
  </si>
  <si>
    <t>ba:itemname_wallmountedbasicshelf</t>
  </si>
  <si>
    <t>Bathroom Mirror</t>
  </si>
  <si>
    <t>ba:itemname_mirrorwallmounted</t>
  </si>
  <si>
    <t>Bathroom Shelf</t>
  </si>
  <si>
    <t>ba:itemname_towelwall</t>
  </si>
  <si>
    <t>Bathroom Sign</t>
  </si>
  <si>
    <t>ba:itemname_bathroomsignwallmounted</t>
  </si>
  <si>
    <t>Bathroom Stall</t>
  </si>
  <si>
    <t>ba:itemname_toiletstall</t>
  </si>
  <si>
    <t>Activity, Toilet</t>
  </si>
  <si>
    <t>Bathtub</t>
  </si>
  <si>
    <t>ba:itemname_bathtub</t>
  </si>
  <si>
    <t>Activity</t>
  </si>
  <si>
    <t>Beach Towel (Extended)</t>
  </si>
  <si>
    <t>ba:itemname_beachtowelextended</t>
  </si>
  <si>
    <t>Beach Towel (Folded)</t>
  </si>
  <si>
    <t>ba:itemname_beachtowelfolded</t>
  </si>
  <si>
    <t>Bed (Double Iron Canopy)</t>
  </si>
  <si>
    <t>ba:itemname_beddoubleironcanopy</t>
  </si>
  <si>
    <t>Bed (Double Iron)</t>
  </si>
  <si>
    <t>ba:itemname_beddoubleiron</t>
  </si>
  <si>
    <t>Bed (Double Modern Canopy)</t>
  </si>
  <si>
    <t>ba:itemname_beddoublemoderncanopy</t>
  </si>
  <si>
    <t>Bed (Double Wooden)</t>
  </si>
  <si>
    <t>ba:itemname_beddoublewooden</t>
  </si>
  <si>
    <t>Bed (Full Size)</t>
  </si>
  <si>
    <t>ba:itemname_fullsizebedmodern</t>
  </si>
  <si>
    <t>Bed (Individual Iron)</t>
  </si>
  <si>
    <t>ba:itemname_bedindividualiron</t>
  </si>
  <si>
    <t>Bed (Individual Modern)</t>
  </si>
  <si>
    <t>ba:itemname_bedindividualmodern</t>
  </si>
  <si>
    <t>Bed (Individual Wooden)</t>
  </si>
  <si>
    <t>ba:itemname_bedindividualwooden</t>
  </si>
  <si>
    <t>Bed (King Sized)</t>
  </si>
  <si>
    <t>ba:itemname_kingsizebed</t>
  </si>
  <si>
    <t>Bed (Standard)</t>
  </si>
  <si>
    <t>ba:itemname_bed1</t>
  </si>
  <si>
    <t>Bedside Table</t>
  </si>
  <si>
    <t>ba:itemname_bedsidetable</t>
  </si>
  <si>
    <t>Bedside Table Lamp (Classic)</t>
  </si>
  <si>
    <t>ba:itemname_bedsidetablelampclassic</t>
  </si>
  <si>
    <t>Light</t>
  </si>
  <si>
    <t>Bedside Table Lamp (Modern)</t>
  </si>
  <si>
    <t>ba:itemname_bedsidetablelampmodern</t>
  </si>
  <si>
    <t>Bedside Table Modern</t>
  </si>
  <si>
    <t>ba:itemname_bedsidetablemodern</t>
  </si>
  <si>
    <t>Bedside Table Modern (Wall Mounted)</t>
  </si>
  <si>
    <t>ba:itemname_bedsidetablemodernwallmounted</t>
  </si>
  <si>
    <t>Belt Barrier</t>
  </si>
  <si>
    <t>ba:itemname_beltbarrier</t>
  </si>
  <si>
    <t>Bench</t>
  </si>
  <si>
    <t>ba:itemname_bench01</t>
  </si>
  <si>
    <t>Big Cabinet</t>
  </si>
  <si>
    <t>ba:itemname_bigcabinet</t>
  </si>
  <si>
    <t>Decoration, Work Surface</t>
  </si>
  <si>
    <t>Books With Bookends</t>
  </si>
  <si>
    <t>ba:itemname_bookswithbookends</t>
  </si>
  <si>
    <t>Bookshelf (Large Decorative)</t>
  </si>
  <si>
    <t>ba:itemname_largedecorativebookshelf</t>
  </si>
  <si>
    <t>Bookshelf (Large)</t>
  </si>
  <si>
    <t>ba:itemname_largebookshelf</t>
  </si>
  <si>
    <t>Bookshelf (Small Decorative)</t>
  </si>
  <si>
    <t>ba:itemname_decorativebookshelf</t>
  </si>
  <si>
    <t>Bookshelf (Small)</t>
  </si>
  <si>
    <t>ba:itemname_singlebookshelf</t>
  </si>
  <si>
    <t>Bottling Machine</t>
  </si>
  <si>
    <t>ba:itemname_bottlingmachine</t>
  </si>
  <si>
    <t>Boxing Bag</t>
  </si>
  <si>
    <t>ba:itemname_boxingbag</t>
  </si>
  <si>
    <t>Activity, Workout Machine</t>
  </si>
  <si>
    <t>Bush (Modular Rectangular Curve)</t>
  </si>
  <si>
    <t>ba:itemname_bushmodularrectangularcurve</t>
  </si>
  <si>
    <t>Bush (Modular Rectangular Straight)</t>
  </si>
  <si>
    <t>ba:itemname_bushmodularrectangularstraight</t>
  </si>
  <si>
    <t>Bush (Round)</t>
  </si>
  <si>
    <t>ba:itemname_bushround</t>
  </si>
  <si>
    <t>Cabinet Corner</t>
  </si>
  <si>
    <t>ba:itemname_countercorner</t>
  </si>
  <si>
    <t>Work Surface</t>
  </si>
  <si>
    <t>Cabinet End (Left)</t>
  </si>
  <si>
    <t>ba:itemname_counterleftend</t>
  </si>
  <si>
    <t>Cabinet End (Right)</t>
  </si>
  <si>
    <t>ba:itemname_counterrightend</t>
  </si>
  <si>
    <t>Cabinet with Doors</t>
  </si>
  <si>
    <t>ba:itemname_counter2</t>
  </si>
  <si>
    <t>Cabinet with Drawers</t>
  </si>
  <si>
    <t>ba:itemname_counter1</t>
  </si>
  <si>
    <t>Cactus Neon</t>
  </si>
  <si>
    <t>ba:itemname_cactusneon</t>
  </si>
  <si>
    <t>Calculator</t>
  </si>
  <si>
    <t>ba:itemname_calculator</t>
  </si>
  <si>
    <t>Job Demand</t>
  </si>
  <si>
    <t>Cardboard Cutout Display Action</t>
  </si>
  <si>
    <t>ba:itemname_cardboardcutoutdisplayaction</t>
  </si>
  <si>
    <t>Cardboard Cutout Display Cartoon</t>
  </si>
  <si>
    <t>ba:itemname_cardboardcutoutdisplaycartoon</t>
  </si>
  <si>
    <t>Cardboard Cutout Display Horror</t>
  </si>
  <si>
    <t>ba:itemname_cardboardcutoutdisplayhorror01</t>
  </si>
  <si>
    <t>Cardboard Cutout Display Science Fiction</t>
  </si>
  <si>
    <t>ba:itemname_cardboardcutoutdisplaysf</t>
  </si>
  <si>
    <t>Cardboard Cutout Display Teen</t>
  </si>
  <si>
    <t>ba:itemname_cardboardcutoutdisplayteen</t>
  </si>
  <si>
    <t>Cardboard Cutout Display Teen Horror</t>
  </si>
  <si>
    <t>ba:itemname_cardboardcutoutdisplayteenhorror</t>
  </si>
  <si>
    <t>Cardboard Cutout Display Zombies</t>
  </si>
  <si>
    <t>ba:itemname_cardboardcutoutdisplayhorror02</t>
  </si>
  <si>
    <t>Carpet Big Basic</t>
  </si>
  <si>
    <t>ba:itemname_carpetbigbasic</t>
  </si>
  <si>
    <t>Flat Decoration</t>
  </si>
  <si>
    <t>Carpet Big Crimson</t>
  </si>
  <si>
    <t>ba:itemname_carpetbigclassic01</t>
  </si>
  <si>
    <t>Carpet Big Imperial</t>
  </si>
  <si>
    <t>ba:itemname_carpetbigclassic02</t>
  </si>
  <si>
    <t>Carpet Big Ivory</t>
  </si>
  <si>
    <t>ba:itemname_carpetbigclassic03</t>
  </si>
  <si>
    <t>Carpet Big Modern</t>
  </si>
  <si>
    <t>ba:itemname_carpetbigmodern</t>
  </si>
  <si>
    <t>Carpet Long Big Basic</t>
  </si>
  <si>
    <t>ba:itemname_carpetlongbigbasic</t>
  </si>
  <si>
    <t>Carpet Long Big Crimson</t>
  </si>
  <si>
    <t>ba:itemname_carpetlongbigclassic01</t>
  </si>
  <si>
    <t>Carpet Long Big Imperial</t>
  </si>
  <si>
    <t>ba:itemname_carpetlongbigclassic02</t>
  </si>
  <si>
    <t>Carpet Long Big Ivory</t>
  </si>
  <si>
    <t>ba:itemname_carpetlongbigclassic03</t>
  </si>
  <si>
    <t>Carpet Long Big Modern</t>
  </si>
  <si>
    <t>ba:itemname_carpetlongbigmodern</t>
  </si>
  <si>
    <t>Carpet Round Big Basic</t>
  </si>
  <si>
    <t>ba:itemname_carpetroundbigbasic</t>
  </si>
  <si>
    <t>Carpet Round Big Crimson</t>
  </si>
  <si>
    <t>ba:itemname_carpetroundbigclassic01</t>
  </si>
  <si>
    <t>Carpet Round Big Imperial</t>
  </si>
  <si>
    <t>ba:itemname_carpetroundbigclassic02</t>
  </si>
  <si>
    <t>Carpet Round Big Ivory</t>
  </si>
  <si>
    <t>ba:itemname_carpetroundbigclassic03</t>
  </si>
  <si>
    <t>Carpet Round Big Modern</t>
  </si>
  <si>
    <t>ba:itemname_carpetroundbigmodern</t>
  </si>
  <si>
    <t>Carpet Square Big Basic</t>
  </si>
  <si>
    <t>ba:itemname_carpetsquarebigbasic</t>
  </si>
  <si>
    <t>Carpet Square Big Crimson</t>
  </si>
  <si>
    <t>ba:itemname_carpetsquarebigclassic01</t>
  </si>
  <si>
    <t>Carpet Square Big Imperial</t>
  </si>
  <si>
    <t>ba:itemname_carpetsquarebigclassic02</t>
  </si>
  <si>
    <t>Carpet Square Big Ivory</t>
  </si>
  <si>
    <t>ba:itemname_carpetsquarebigclassic03</t>
  </si>
  <si>
    <t>Carpet Square Big Modern</t>
  </si>
  <si>
    <t>ba:itemname_carpetsquarebigmodern</t>
  </si>
  <si>
    <t>Cash Register</t>
  </si>
  <si>
    <t>ba:itemname_cashregister</t>
  </si>
  <si>
    <t>Point of Sale, Workstation</t>
  </si>
  <si>
    <t>Ceiling Lamp (Geometric)</t>
  </si>
  <si>
    <t>ba:itemname_ceilinglampgeometric</t>
  </si>
  <si>
    <t>Ceiling Lamp (Industrial)</t>
  </si>
  <si>
    <t>ba:itemname_ceilinglampwarehouse</t>
  </si>
  <si>
    <t>Ceiling Lamp (Pendant)</t>
  </si>
  <si>
    <t>ba:itemname_ceilinglamppendant</t>
  </si>
  <si>
    <t>Ceiling Lamp (Round)</t>
  </si>
  <si>
    <t>ba:itemname_ceilinglampround</t>
  </si>
  <si>
    <t>Ceiling Lamp (Spheres)</t>
  </si>
  <si>
    <t>ba:itemname_ceilinglampspheres</t>
  </si>
  <si>
    <t>Ceiling Lamp (Square)</t>
  </si>
  <si>
    <t>ba:itemname_ceilinglampsquare</t>
  </si>
  <si>
    <t>Ceiling Lamp (Tiffany)</t>
  </si>
  <si>
    <t>ba:itemname_ceilinglamptiffany</t>
  </si>
  <si>
    <t>Ceiling Lamp (Tube)</t>
  </si>
  <si>
    <t>ba:itemname_ceilinglamptube</t>
  </si>
  <si>
    <t>Chair Modern</t>
  </si>
  <si>
    <t>ba:itemname_chairmodern</t>
  </si>
  <si>
    <t>Chandelier</t>
  </si>
  <si>
    <t>ba:itemname_chandeliersmall</t>
  </si>
  <si>
    <t>Chandelier (Long)</t>
  </si>
  <si>
    <t>ba:itemname_chandeliersmalllong</t>
  </si>
  <si>
    <t>Changing Room</t>
  </si>
  <si>
    <t>ba:itemname_changingroom</t>
  </si>
  <si>
    <t>Business Requirement</t>
  </si>
  <si>
    <t>Cheap Coffee Machine</t>
  </si>
  <si>
    <t>ba:itemname_cheapcoffeemachine</t>
  </si>
  <si>
    <t>Checkout Counter (Left)</t>
  </si>
  <si>
    <t>ba:itemname_checkoutcounterleft</t>
  </si>
  <si>
    <t>Checkout Counter (Right)</t>
  </si>
  <si>
    <t>ba:itemname_checkoutcounterright</t>
  </si>
  <si>
    <t>Chimney Classic</t>
  </si>
  <si>
    <t>ba:itemname_chimneyclassic</t>
  </si>
  <si>
    <t>Chimney Luxury</t>
  </si>
  <si>
    <t>ba:itemname_chimneyluxury</t>
  </si>
  <si>
    <t>Chimney Rustic</t>
  </si>
  <si>
    <t>ba:itemname_chimneyrustic</t>
  </si>
  <si>
    <t>Christmas Mistletoe Light String</t>
  </si>
  <si>
    <t>ba:itemname_christmaslights03</t>
  </si>
  <si>
    <t>Other</t>
  </si>
  <si>
    <t>Christmas Neon</t>
  </si>
  <si>
    <t>ba:itemname_christmasneon</t>
  </si>
  <si>
    <t>Christmas Present Bundle (Large)</t>
  </si>
  <si>
    <t>ba:itemname_christmasgifts03</t>
  </si>
  <si>
    <t>Christmas Present Bundle (Medium)</t>
  </si>
  <si>
    <t>ba:itemname_christmasgifts02</t>
  </si>
  <si>
    <t>Christmas Present Bundle (Small)</t>
  </si>
  <si>
    <t>ba:itemname_christmasgifts01</t>
  </si>
  <si>
    <t>Christmas Star Light String</t>
  </si>
  <si>
    <t>ba:itemname_christmaslights02</t>
  </si>
  <si>
    <t>Christmas Stockings</t>
  </si>
  <si>
    <t>ba:itemname_christmasstockings</t>
  </si>
  <si>
    <t>Christmas String Lights</t>
  </si>
  <si>
    <t>ba:itemname_christmaslights01</t>
  </si>
  <si>
    <t>Cinema Chair</t>
  </si>
  <si>
    <t>ba:itemname_chaircinema</t>
  </si>
  <si>
    <t>Cinema Chair 4 Modular</t>
  </si>
  <si>
    <t>ba:itemname_chaircinema4modular</t>
  </si>
  <si>
    <t>Cinema Chair Modular</t>
  </si>
  <si>
    <t>ba:itemname_chaircinemamodular</t>
  </si>
  <si>
    <t>Cinema Poster (Action)</t>
  </si>
  <si>
    <t>ba:itemname_cinemaposteraction</t>
  </si>
  <si>
    <t>Cinema Poster (Cartoon)</t>
  </si>
  <si>
    <t>ba:itemname_cinemapostercartoon</t>
  </si>
  <si>
    <t>Cinema Poster (Horror)</t>
  </si>
  <si>
    <t>ba:itemname_cinemaposterhorror</t>
  </si>
  <si>
    <t>Cinema Poster (Science Fiction)</t>
  </si>
  <si>
    <t>ba:itemname_cinemapostersciencefiction</t>
  </si>
  <si>
    <t>Cinema Poster (Teen Horror)</t>
  </si>
  <si>
    <t>ba:itemname_cinemaposterteenhorror</t>
  </si>
  <si>
    <t>Cinema Poster (Teen)</t>
  </si>
  <si>
    <t>ba:itemname_cinemaposterteen</t>
  </si>
  <si>
    <t>Cinema Poster (Zombies)</t>
  </si>
  <si>
    <t>ba:itemname_cinemaposterzombies</t>
  </si>
  <si>
    <t>Cinema Screen</t>
  </si>
  <si>
    <t>ba:itemname_screencinema</t>
  </si>
  <si>
    <t>Cinema Ticket Kiosk</t>
  </si>
  <si>
    <t>ba:itemname_ticketkiosk</t>
  </si>
  <si>
    <t>Circle Mirror</t>
  </si>
  <si>
    <t>ba:itemname_mirrorcircle</t>
  </si>
  <si>
    <t>Circle Neon</t>
  </si>
  <si>
    <t>ba:itemname_circleneon</t>
  </si>
  <si>
    <t>Classic Loudspeaker (Large)</t>
  </si>
  <si>
    <t>ba:itemname_classicloudspeakerbig</t>
  </si>
  <si>
    <t>Radio</t>
  </si>
  <si>
    <t>Classic Loudspeaker (Medium)</t>
  </si>
  <si>
    <t>ba:itemname_classicloudspeakermedium</t>
  </si>
  <si>
    <t>Classic Loudspeaker (Small)</t>
  </si>
  <si>
    <t>ba:itemname_classicloudspeakersmall</t>
  </si>
  <si>
    <t>Classic Phone</t>
  </si>
  <si>
    <t>ba:itemname_classicphone</t>
  </si>
  <si>
    <t>Cleaning Station</t>
  </si>
  <si>
    <t>ba:itemname_cleaningstation</t>
  </si>
  <si>
    <t>Workstation</t>
  </si>
  <si>
    <t>Clothing Rack</t>
  </si>
  <si>
    <t>ba:itemname_clothingrack</t>
  </si>
  <si>
    <t>Clothing Rack (Angled)</t>
  </si>
  <si>
    <t>ba:itemname_clothingrackangled</t>
  </si>
  <si>
    <t>Coat Check (Left)</t>
  </si>
  <si>
    <t>ba:itemname_coatcheckleft</t>
  </si>
  <si>
    <t>Coat Check (Right)</t>
  </si>
  <si>
    <t>ba:itemname_coatcheckright</t>
  </si>
  <si>
    <t>Cocktail Bar</t>
  </si>
  <si>
    <t>ba:itemname_cocktailbar</t>
  </si>
  <si>
    <t>Work Surface, Table</t>
  </si>
  <si>
    <t>Cocktail Bar (Beer Shelf Wooden)</t>
  </si>
  <si>
    <t>ba:itemname_woodencocktailbarbeershelf</t>
  </si>
  <si>
    <t>Showcase Shelf, Table</t>
  </si>
  <si>
    <t>Cocktail Bar (Beer Shelf)</t>
  </si>
  <si>
    <t>ba:itemname_cocktailbarbeershelf</t>
  </si>
  <si>
    <t>Cocktail Bar (Corner Wooden)</t>
  </si>
  <si>
    <t>ba:itemname_woodencocktailbarcorner</t>
  </si>
  <si>
    <t>Cocktail Bar (Corner)</t>
  </si>
  <si>
    <t>ba:itemname_cocktailbarcorner</t>
  </si>
  <si>
    <t>Cocktail Bar (Drinks Counter Wooden)</t>
  </si>
  <si>
    <t>ba:itemname_woodencocktailbardrinkscounter</t>
  </si>
  <si>
    <t>Cocktail Bar (Drinks Counter)</t>
  </si>
  <si>
    <t>ba:itemname_cocktailbardrinkscounter</t>
  </si>
  <si>
    <t>Cocktail Bar (Large Wooden)</t>
  </si>
  <si>
    <t>ba:itemname_largewoodencocktailbar</t>
  </si>
  <si>
    <t>Cocktail Bar (Large)</t>
  </si>
  <si>
    <t>ba:itemname_largecocktailbar</t>
  </si>
  <si>
    <t>Cocktail Bar (Roof Corner Wooden)</t>
  </si>
  <si>
    <t>ba:itemname_woodencocktailbarcornerroof</t>
  </si>
  <si>
    <t>Cocktail Bar (Roof Wooden)</t>
  </si>
  <si>
    <t>ba:itemname_woodencocktailbarroof</t>
  </si>
  <si>
    <t>Cocktail Bar (Wooden)</t>
  </si>
  <si>
    <t>ba:itemname_woodencocktailbar</t>
  </si>
  <si>
    <t>Cocktail Neon</t>
  </si>
  <si>
    <t>ba:itemname_cocktailneon</t>
  </si>
  <si>
    <t>Coffee Table (Double-sided)</t>
  </si>
  <si>
    <t>ba:itemname_coffeetable3</t>
  </si>
  <si>
    <t>Table</t>
  </si>
  <si>
    <t>Coffee Table (Luxury Circle)</t>
  </si>
  <si>
    <t>ba:itemname_coffeetableluxurycircle</t>
  </si>
  <si>
    <t>Coffee Table (Luxury Wooden)</t>
  </si>
  <si>
    <t>ba:itemname_coffeetableluxurywooden</t>
  </si>
  <si>
    <t>Coffee Table (Luxury)</t>
  </si>
  <si>
    <t>ba:itemname_coffeetableluxury</t>
  </si>
  <si>
    <t>Coffee Table (Modern)</t>
  </si>
  <si>
    <t>ba:itemname_coffeetable1</t>
  </si>
  <si>
    <t>Coffee Table (Oval)</t>
  </si>
  <si>
    <t>ba:itemname_coffeetable2</t>
  </si>
  <si>
    <t>Computer</t>
  </si>
  <si>
    <t>ba:itemname_computer</t>
  </si>
  <si>
    <t>Computer Monitor</t>
  </si>
  <si>
    <t>ba:itemname_computermonitor</t>
  </si>
  <si>
    <t>Concessions Counter</t>
  </si>
  <si>
    <t>ba:itemname_concessionscounter</t>
  </si>
  <si>
    <t>Concessions Counter Corner</t>
  </si>
  <si>
    <t>ba:itemname_concessionscountercorner</t>
  </si>
  <si>
    <t>Concessions Display Case</t>
  </si>
  <si>
    <t>ba:itemname_concessionsdisplaycase</t>
  </si>
  <si>
    <t>Concessions Stand Register</t>
  </si>
  <si>
    <t>ba:itemname_concessionsstandregister</t>
  </si>
  <si>
    <t>Console Table</t>
  </si>
  <si>
    <t>ba:itemname_consoletable</t>
  </si>
  <si>
    <t>Console Table (Modern)</t>
  </si>
  <si>
    <t>ba:itemname_consoletablemodern</t>
  </si>
  <si>
    <t>Console Table (Rattan)</t>
  </si>
  <si>
    <t>ba:itemname_consoletablerattan</t>
  </si>
  <si>
    <t>Consumer Goods Assembly Machine</t>
  </si>
  <si>
    <t>ba:itemname_consumergoodsassemblymachine</t>
  </si>
  <si>
    <t>Cookies &amp; Milk</t>
  </si>
  <si>
    <t>ba:itemname_christmascookies</t>
  </si>
  <si>
    <t>Costume Booth</t>
  </si>
  <si>
    <t>ba:itemname_boothcostume</t>
  </si>
  <si>
    <t>Counter Dishwasher (Marble)</t>
  </si>
  <si>
    <t>ba:itemname_counterdishwashermarble</t>
  </si>
  <si>
    <t>Counter Dishwasher (Modern)</t>
  </si>
  <si>
    <t>ba:itemname_counterdishwashermodern</t>
  </si>
  <si>
    <t>Counter Sink</t>
  </si>
  <si>
    <t>ba:itemname_countersink</t>
  </si>
  <si>
    <t>Decoration, Sink</t>
  </si>
  <si>
    <t>Counter Sink (Marble)</t>
  </si>
  <si>
    <t>ba:itemname_countersinkmarble</t>
  </si>
  <si>
    <t>Counter Sink (Modern)</t>
  </si>
  <si>
    <t>ba:itemname_countersinkmodern</t>
  </si>
  <si>
    <t>Counter With Glass</t>
  </si>
  <si>
    <t>ba:itemname_counterwithglass</t>
  </si>
  <si>
    <t>Counter With Glass Left Corner</t>
  </si>
  <si>
    <t>ba:itemname_counterwithglasscornerleft</t>
  </si>
  <si>
    <t>Counter With Glass Right Corner</t>
  </si>
  <si>
    <t>ba:itemname_counterwithglasscornerright</t>
  </si>
  <si>
    <t>Cube Shelf Big (Wall Mounted)</t>
  </si>
  <si>
    <t>ba:itemname_wallmountedcubeshelfbig</t>
  </si>
  <si>
    <t>Cube Shelf Medium (Wall Mounted)</t>
  </si>
  <si>
    <t>ba:itemname_wallmountedcubeshelfmedium</t>
  </si>
  <si>
    <t>Cube Shelf Small (Wall Mounted)</t>
  </si>
  <si>
    <t>ba:itemname_wallmountedcubeshelfsmall</t>
  </si>
  <si>
    <t>Curtain Rod</t>
  </si>
  <si>
    <t>ba:itemname_curtainrod</t>
  </si>
  <si>
    <t>Deck Chair</t>
  </si>
  <si>
    <t>ba:itemname_deckchair</t>
  </si>
  <si>
    <t>Decorative Barbell</t>
  </si>
  <si>
    <t>ba:itemname_decorativebarbell</t>
  </si>
  <si>
    <t>Decorative Barrel</t>
  </si>
  <si>
    <t>ba:itemname_decorativebarrel</t>
  </si>
  <si>
    <t>Decorative Drinks Shelf</t>
  </si>
  <si>
    <t>ba:itemname_decorativedrinksshelf</t>
  </si>
  <si>
    <t>Decorative Gym Bars 1</t>
  </si>
  <si>
    <t>ba:itemname_decorativegymbars01</t>
  </si>
  <si>
    <t>Decorative Gym Bars 2</t>
  </si>
  <si>
    <t>ba:itemname_decorativegymbars02</t>
  </si>
  <si>
    <t>Decorative Metal Shelf</t>
  </si>
  <si>
    <t>ba:itemname_metalshelf</t>
  </si>
  <si>
    <t>Decorative Modern Books</t>
  </si>
  <si>
    <t>ba:itemname_booksdecorativemodern</t>
  </si>
  <si>
    <t>Decorative Popcorn</t>
  </si>
  <si>
    <t>ba:itemname_decorativepopcorn</t>
  </si>
  <si>
    <t>Decorative Shampoo</t>
  </si>
  <si>
    <t>ba:itemname_decorativeshampoo</t>
  </si>
  <si>
    <t>Decorative Weights Rack 1</t>
  </si>
  <si>
    <t>ba:itemname_decorativeweightsrack01</t>
  </si>
  <si>
    <t>Decorative Weights Rack 2</t>
  </si>
  <si>
    <t>ba:itemname_decorativeweightsrack02</t>
  </si>
  <si>
    <t>Desk Calendar</t>
  </si>
  <si>
    <t>ba:itemname_deskcalendar</t>
  </si>
  <si>
    <t>Desk Globe</t>
  </si>
  <si>
    <t>ba:itemname_deskglobe</t>
  </si>
  <si>
    <t>Desk Lamp</t>
  </si>
  <si>
    <t>ba:itemname_desklamp</t>
  </si>
  <si>
    <t>Desk Plant</t>
  </si>
  <si>
    <t>ba:itemname_deskplant01</t>
  </si>
  <si>
    <t>Desk Plant (Decorative)</t>
  </si>
  <si>
    <t>ba:itemname_deskplant02</t>
  </si>
  <si>
    <t>Desk Plant (Square)</t>
  </si>
  <si>
    <t>ba:itemname_deskplant03</t>
  </si>
  <si>
    <t>Desk Plant (Tall)</t>
  </si>
  <si>
    <t>ba:itemname_deskplant04</t>
  </si>
  <si>
    <t>Disco Ball</t>
  </si>
  <si>
    <t>ba:itemname_discoball</t>
  </si>
  <si>
    <t>Display Stand (Large Wooden)</t>
  </si>
  <si>
    <t>ba:itemname_angledwoodendisplaystand</t>
  </si>
  <si>
    <t>Display Stand (Tiered Product)</t>
  </si>
  <si>
    <t>ba:itemname_productdisplaystandtiered</t>
  </si>
  <si>
    <t>Display Stand (Wooden)</t>
  </si>
  <si>
    <t>ba:itemname_flatwoodendisplaystand</t>
  </si>
  <si>
    <t>Display Table (Product)</t>
  </si>
  <si>
    <t>ba:itemname_productdisplaytable</t>
  </si>
  <si>
    <t>DJ Booth</t>
  </si>
  <si>
    <t>ba:itemname_djbooth</t>
  </si>
  <si>
    <t>Dresser (Modern)</t>
  </si>
  <si>
    <t>ba:itemname_dressermodern</t>
  </si>
  <si>
    <t>Dresser (Rattan)</t>
  </si>
  <si>
    <t>ba:itemname_dresserrattan</t>
  </si>
  <si>
    <t>Dressing Room</t>
  </si>
  <si>
    <t>ba:itemname_dressingroom</t>
  </si>
  <si>
    <t>Drinks Fridge</t>
  </si>
  <si>
    <t>ba:itemname_drinksfridge</t>
  </si>
  <si>
    <t>Drinks Fridge (Large)</t>
  </si>
  <si>
    <t>ba:itemname_largedrinksfridge</t>
  </si>
  <si>
    <t>Drinks Shelf</t>
  </si>
  <si>
    <t>ba:itemname_drinksshelf</t>
  </si>
  <si>
    <t>Earbuds Stand</t>
  </si>
  <si>
    <t>ba:itemname_earbudsstand</t>
  </si>
  <si>
    <t>Electric Stovetop</t>
  </si>
  <si>
    <t>ba:itemname_electricstovetop</t>
  </si>
  <si>
    <t>ELGE 8467NW-43283833 43" TV</t>
  </si>
  <si>
    <t>ba:itemname_wallmountedtv</t>
  </si>
  <si>
    <t>Ember Carpet</t>
  </si>
  <si>
    <t>ba:itemname_rug03</t>
  </si>
  <si>
    <t>Executive Office Desk (Left)</t>
  </si>
  <si>
    <t>ba:itemname_officedesk2left</t>
  </si>
  <si>
    <t>Desk</t>
  </si>
  <si>
    <t>Executive Office Desk (Right)</t>
  </si>
  <si>
    <t>ba:itemname_officedesk2right</t>
  </si>
  <si>
    <t>Exit Sign</t>
  </si>
  <si>
    <t>ba:itemname_exitsign</t>
  </si>
  <si>
    <t>Expensive Christmas Present</t>
  </si>
  <si>
    <t>ba:itemname_christmasgift03</t>
  </si>
  <si>
    <t>Fence (Concrete Door Vehicle)</t>
  </si>
  <si>
    <t>ba:itemname_fenceconcretedoorvehicle</t>
  </si>
  <si>
    <t>Fence (Concrete Door)</t>
  </si>
  <si>
    <t>ba:itemname_fenceconcretedoor</t>
  </si>
  <si>
    <t>Fence (Concrete Double)</t>
  </si>
  <si>
    <t>ba:itemname_fenceconcretedouble</t>
  </si>
  <si>
    <t>Fence (Concrete Single)</t>
  </si>
  <si>
    <t>ba:itemname_fenceconcretesingle</t>
  </si>
  <si>
    <t>Fence (Glass Double)</t>
  </si>
  <si>
    <t>ba:itemname_fenceglassdouble</t>
  </si>
  <si>
    <t>Fence (Glass Single)</t>
  </si>
  <si>
    <t>ba:itemname_fenceglasssingle</t>
  </si>
  <si>
    <t>Fence (Iron Door)</t>
  </si>
  <si>
    <t>ba:itemname_fenceirondoor</t>
  </si>
  <si>
    <t>Fence (Iron Double)</t>
  </si>
  <si>
    <t>ba:itemname_fenceirondouble</t>
  </si>
  <si>
    <t>Fence (Iron Single)</t>
  </si>
  <si>
    <t>ba:itemname_fenceironsingle</t>
  </si>
  <si>
    <t>Fence Iron Door Vehicle)</t>
  </si>
  <si>
    <t>ba:itemname_fenceirondoorvehicle</t>
  </si>
  <si>
    <t>Fire Extinguisher</t>
  </si>
  <si>
    <t>ba:itemname_fireextinguisher</t>
  </si>
  <si>
    <t>Fitball</t>
  </si>
  <si>
    <t>ba:itemname_fitball</t>
  </si>
  <si>
    <t>Fitness Planning Board</t>
  </si>
  <si>
    <t>ba:itemname_fitnessplanningboard</t>
  </si>
  <si>
    <t>Fitness Trampoline</t>
  </si>
  <si>
    <t>ba:itemname_fitnesstrampoline</t>
  </si>
  <si>
    <t>Floor Lamp</t>
  </si>
  <si>
    <t>ba:itemname_floorlamp</t>
  </si>
  <si>
    <t>Floor Lamp (Arched)</t>
  </si>
  <si>
    <t>ba:itemname_floorlamparched</t>
  </si>
  <si>
    <t>Floor Lamp (Paper)</t>
  </si>
  <si>
    <t>ba:itemname_floorlamppaper</t>
  </si>
  <si>
    <t>Floor Lamp (Wooden)</t>
  </si>
  <si>
    <t>ba:itemname_floorlampwooden</t>
  </si>
  <si>
    <t>Floral Carpet</t>
  </si>
  <si>
    <t>ba:itemname_rug04</t>
  </si>
  <si>
    <t>Flowered Ottoman</t>
  </si>
  <si>
    <t>ba:itemname_pouf</t>
  </si>
  <si>
    <t>Food Assembly Machine</t>
  </si>
  <si>
    <t>ba:itemname_foodassemblymachine</t>
  </si>
  <si>
    <t>Framed Certificate</t>
  </si>
  <si>
    <t>ba:itemname_framedcertificate</t>
  </si>
  <si>
    <t>Fruit Bowl</t>
  </si>
  <si>
    <t>ba:itemname_fruitbowl</t>
  </si>
  <si>
    <t>Fruit Pallet</t>
  </si>
  <si>
    <t>ba:itemname_fruitpallet</t>
  </si>
  <si>
    <t>Gaming Chair</t>
  </si>
  <si>
    <t>ba:itemname_gamingchair</t>
  </si>
  <si>
    <t>Gammel Arm Chair</t>
  </si>
  <si>
    <t>ba:itemname_armchair2</t>
  </si>
  <si>
    <t>Garden Chair</t>
  </si>
  <si>
    <t>ba:itemname_chairgarden</t>
  </si>
  <si>
    <t>Garden Chair (Wooden)</t>
  </si>
  <si>
    <t>ba:itemname_chairgardenwooden</t>
  </si>
  <si>
    <t>Garden Post Light</t>
  </si>
  <si>
    <t>ba:itemname_gardenpostlight</t>
  </si>
  <si>
    <t>Garden Post Light (Modern Small)</t>
  </si>
  <si>
    <t>ba:itemname_gardenpostlightsmallmodern</t>
  </si>
  <si>
    <t>Garden Post Light (Modern)</t>
  </si>
  <si>
    <t>ba:itemname_gardenpostlightmodern</t>
  </si>
  <si>
    <t>Garden Post Light (Small)</t>
  </si>
  <si>
    <t>ba:itemname_gardenpostlightsmall</t>
  </si>
  <si>
    <t>Garden Table (Wooden)</t>
  </si>
  <si>
    <t>ba:itemname_tablegardenwooden</t>
  </si>
  <si>
    <t>Giant Decorative Candy Cane</t>
  </si>
  <si>
    <t>ba:itemname_candycane</t>
  </si>
  <si>
    <t>Glass Barrier</t>
  </si>
  <si>
    <t>ba:itemname_glassbarrier</t>
  </si>
  <si>
    <t>Glowing Jack-O-Lantern (Large)</t>
  </si>
  <si>
    <t>ba:itemname_jackolanternbig</t>
  </si>
  <si>
    <t>Glowing Jack-O-Lantern (Medium)</t>
  </si>
  <si>
    <t>ba:itemname_jackolanternmedium</t>
  </si>
  <si>
    <t>Glowing Jack-O-Lantern (Small)</t>
  </si>
  <si>
    <t>ba:itemname_jackolanternsmall</t>
  </si>
  <si>
    <t>Golf Trophy</t>
  </si>
  <si>
    <t>ba:itemname_trophygolf</t>
  </si>
  <si>
    <t>Graphic Tablet</t>
  </si>
  <si>
    <t>ba:itemname_graphictablet</t>
  </si>
  <si>
    <t>Graphic Tablet (with Screen)</t>
  </si>
  <si>
    <t>ba:itemname_graphictabletwithscreen</t>
  </si>
  <si>
    <t>Ground Mirror</t>
  </si>
  <si>
    <t>ba:itemname_groundmirror</t>
  </si>
  <si>
    <t>Ground Mirror (Modern)</t>
  </si>
  <si>
    <t>ba:itemname_groundmirrormodern</t>
  </si>
  <si>
    <t>Gym Lockers</t>
  </si>
  <si>
    <t>ba:itemname_gymlockers</t>
  </si>
  <si>
    <t>Gym Mat</t>
  </si>
  <si>
    <t>ba:itemname_gymmat</t>
  </si>
  <si>
    <t>Hairdresser Chair</t>
  </si>
  <si>
    <t>ba:itemname_hairdresserchair</t>
  </si>
  <si>
    <t>Hairdresser Chair (Modern)</t>
  </si>
  <si>
    <t>ba:itemname_hairdresserchairmodern</t>
  </si>
  <si>
    <t>Hairdresser Head Wash</t>
  </si>
  <si>
    <t>ba:itemname_hairdresserheadwash</t>
  </si>
  <si>
    <t>Hairdresser Mirror</t>
  </si>
  <si>
    <t>ba:itemname_hairdressermirror</t>
  </si>
  <si>
    <t>Hairdresser Shelf</t>
  </si>
  <si>
    <t>ba:itemname_hairdressershelf</t>
  </si>
  <si>
    <t>Hairdresser Sign</t>
  </si>
  <si>
    <t>ba:itemname_hairdressersign</t>
  </si>
  <si>
    <t>Halloween Neon</t>
  </si>
  <si>
    <t>ba:itemname_halloweenneon</t>
  </si>
  <si>
    <t>Hand Dryer</t>
  </si>
  <si>
    <t>ba:itemname_handdryer</t>
  </si>
  <si>
    <t>Headphones Stand</t>
  </si>
  <si>
    <t>ba:itemname_headphonesstand</t>
  </si>
  <si>
    <t>Henningsen Pinecone</t>
  </si>
  <si>
    <t>ba:itemname_ceilinglamppinecone</t>
  </si>
  <si>
    <t>High Table</t>
  </si>
  <si>
    <t>ba:itemname_hightable</t>
  </si>
  <si>
    <t>Hotdog Grill</t>
  </si>
  <si>
    <t>ba:itemname_hotdoggrill</t>
  </si>
  <si>
    <t>Hydroponic Planter</t>
  </si>
  <si>
    <t>ba:itemname_hydroponicplanter</t>
  </si>
  <si>
    <t>Ice Cream Counter</t>
  </si>
  <si>
    <t>ba:itemname_icecreamcounter</t>
  </si>
  <si>
    <t>Industrial Blending Machine</t>
  </si>
  <si>
    <t>ba:itemname_industrialblendingmachine</t>
  </si>
  <si>
    <t>Industrial Coffee Machine</t>
  </si>
  <si>
    <t>ba:itemname_industrialcoffeemachine</t>
  </si>
  <si>
    <t>Industrial Freezer</t>
  </si>
  <si>
    <t>ba:itemname_industrialfreezer</t>
  </si>
  <si>
    <t>Industrial Freezer (Small)</t>
  </si>
  <si>
    <t>ba:itemname_smallindustrialfreezer</t>
  </si>
  <si>
    <t>Industrial Fridge</t>
  </si>
  <si>
    <t>ba:itemname_industrialfridge</t>
  </si>
  <si>
    <t>Industrial Fryer Machine</t>
  </si>
  <si>
    <t>ba:itemname_industrialfryermachine</t>
  </si>
  <si>
    <t>Industrial Grill</t>
  </si>
  <si>
    <t>ba:itemname_industrialgrill</t>
  </si>
  <si>
    <t>Industrial Sewing Machine</t>
  </si>
  <si>
    <t>ba:itemname_industrialsewingmachine</t>
  </si>
  <si>
    <t>Iris Neon</t>
  </si>
  <si>
    <t>ba:itemname_irisneon</t>
  </si>
  <si>
    <t>James Lawns Chair</t>
  </si>
  <si>
    <t>ba:itemname_eameschair</t>
  </si>
  <si>
    <t>James Lawns Ottoman</t>
  </si>
  <si>
    <t>ba:itemname_eamesottoman</t>
  </si>
  <si>
    <t>JayBeeel Loudspeaker (Large)</t>
  </si>
  <si>
    <t>ba:itemname_loudspeaker2</t>
  </si>
  <si>
    <t>JayBeeel Loudspeaker (Medium)</t>
  </si>
  <si>
    <t>ba:itemname_loudspeaker1</t>
  </si>
  <si>
    <t>JayBeeel Loudspeaker (Small)</t>
  </si>
  <si>
    <t>ba:itemname_loudspeaker4</t>
  </si>
  <si>
    <t>Jewelry Box</t>
  </si>
  <si>
    <t>ba:itemname_jewelrybox</t>
  </si>
  <si>
    <t>Jewelry Floor Showcase</t>
  </si>
  <si>
    <t>ba:itemname_jewelryfloorshowcase</t>
  </si>
  <si>
    <t>Job Board</t>
  </si>
  <si>
    <t>ba:itemname_jobboard</t>
  </si>
  <si>
    <t>Special Business</t>
  </si>
  <si>
    <t>Kettlebell 1 kg</t>
  </si>
  <si>
    <t>ba:itemname_kettlebell1kg</t>
  </si>
  <si>
    <t>Kettlebell 10 kg</t>
  </si>
  <si>
    <t>ba:itemname_kettlebell10kg</t>
  </si>
  <si>
    <t>Kettlebell 15 kg</t>
  </si>
  <si>
    <t>ba:itemname_kettlebell15kg</t>
  </si>
  <si>
    <t>Kettlebell 2 kg</t>
  </si>
  <si>
    <t>ba:itemname_kettlebell2kg</t>
  </si>
  <si>
    <t>Kettlebell 25 kg</t>
  </si>
  <si>
    <t>ba:itemname_kettlebell25kg</t>
  </si>
  <si>
    <t>Kettlebell 5 kg</t>
  </si>
  <si>
    <t>ba:itemname_kettlebell5kg</t>
  </si>
  <si>
    <t>Kiln Machine</t>
  </si>
  <si>
    <t>ba:itemname_kilnmachine</t>
  </si>
  <si>
    <t>Laptop</t>
  </si>
  <si>
    <t>ba:itemname_laptop</t>
  </si>
  <si>
    <t>Laser Cutting Machine</t>
  </si>
  <si>
    <t>ba:itemname_lasercuttingmachine</t>
  </si>
  <si>
    <t>LCD Restaurant Screen</t>
  </si>
  <si>
    <t>ba:itemname_lcdrestaurantscreen</t>
  </si>
  <si>
    <t>Lighting Booth</t>
  </si>
  <si>
    <t>ba:itemname_boothlighting</t>
  </si>
  <si>
    <t>Liquid Soap</t>
  </si>
  <si>
    <t>ba:itemname_sinksoap</t>
  </si>
  <si>
    <t>Loaded Barbell</t>
  </si>
  <si>
    <t>ba:itemname_loadedbarbell</t>
  </si>
  <si>
    <t>Long Curtain</t>
  </si>
  <si>
    <t>ba:itemname_curtainlong</t>
  </si>
  <si>
    <t>Long Curtain (Left)</t>
  </si>
  <si>
    <t>ba:itemname_curtainlongleft</t>
  </si>
  <si>
    <t>Long Curtain (Right)</t>
  </si>
  <si>
    <t>ba:itemname_curtainlongright</t>
  </si>
  <si>
    <t>Luxury Christmas Present</t>
  </si>
  <si>
    <t>ba:itemname_christmasgift04</t>
  </si>
  <si>
    <t>Luxury Fridge</t>
  </si>
  <si>
    <t>ba:itemname_luxuryfridge</t>
  </si>
  <si>
    <t>Majestic Theater Chandelier</t>
  </si>
  <si>
    <t>ba:itemname_chandelier</t>
  </si>
  <si>
    <t>Marble Counter 01</t>
  </si>
  <si>
    <t>ba:itemname_countermarble01</t>
  </si>
  <si>
    <t>Marble Counter 02</t>
  </si>
  <si>
    <t>ba:itemname_countermarble02</t>
  </si>
  <si>
    <t>Marble Counter End Left</t>
  </si>
  <si>
    <t>ba:itemname_counterendleftmarble</t>
  </si>
  <si>
    <t>Marble Counter End Right</t>
  </si>
  <si>
    <t>ba:itemname_counterendrightmarble</t>
  </si>
  <si>
    <t>Marble Counter Inner Corner</t>
  </si>
  <si>
    <t>ba:itemname_countercornerinnermarble</t>
  </si>
  <si>
    <t>Medallion Carpet</t>
  </si>
  <si>
    <t>ba:itemname_rug05</t>
  </si>
  <si>
    <t>Meeting Table (Large)</t>
  </si>
  <si>
    <t>ba:itemname_largemeetingtable</t>
  </si>
  <si>
    <t>Menu Board 01</t>
  </si>
  <si>
    <t>ba:itemname_menuboard01</t>
  </si>
  <si>
    <t>Menu Board 02</t>
  </si>
  <si>
    <t>ba:itemname_menuboard02</t>
  </si>
  <si>
    <t>Menu Board 03</t>
  </si>
  <si>
    <t>ba:itemname_menuboard03</t>
  </si>
  <si>
    <t>Menu Board 04</t>
  </si>
  <si>
    <t>ba:itemname_menuboard04</t>
  </si>
  <si>
    <t>Modern Cabinet</t>
  </si>
  <si>
    <t>ba:itemname_moderncounter</t>
  </si>
  <si>
    <t>Modern Counter (Inner Corner)</t>
  </si>
  <si>
    <t>ba:itemname_countercornerinnermodern</t>
  </si>
  <si>
    <t>Modern Counter (Outer Corner)</t>
  </si>
  <si>
    <t>ba:itemname_countercorneroutermodern</t>
  </si>
  <si>
    <t>Modern Shelf</t>
  </si>
  <si>
    <t>ba:itemname_modernshelf</t>
  </si>
  <si>
    <t>Modern Shelf Horizontal</t>
  </si>
  <si>
    <t>ba:itemname_modernshelfhorizontal</t>
  </si>
  <si>
    <t>Modern Sink (Wall Mounted)</t>
  </si>
  <si>
    <t>ba:itemname_sinkwallmodern</t>
  </si>
  <si>
    <t>Modular Dance Floor 1x1</t>
  </si>
  <si>
    <t>ba:itemname_dancefloor1x1</t>
  </si>
  <si>
    <t>Modular Dance Floor 2x2</t>
  </si>
  <si>
    <t>ba:itemname_dancefloor2x2</t>
  </si>
  <si>
    <t>Modular Dance Floor 4x4</t>
  </si>
  <si>
    <t>ba:itemname_dancefloor4x4</t>
  </si>
  <si>
    <t>Modular Sink</t>
  </si>
  <si>
    <t>ba:itemname_sinkmodular</t>
  </si>
  <si>
    <t>Mouse Pad</t>
  </si>
  <si>
    <t>ba:itemname_mousepad</t>
  </si>
  <si>
    <t>Job Demand, Flat Decoration</t>
  </si>
  <si>
    <t>Multipurpose Chair</t>
  </si>
  <si>
    <t>ba:itemname_multipurposechair</t>
  </si>
  <si>
    <t>Seat, Job Demand</t>
  </si>
  <si>
    <t>Nice Christmas Present</t>
  </si>
  <si>
    <t>ba:itemname_christmasgift02</t>
  </si>
  <si>
    <t>Office Chair</t>
  </si>
  <si>
    <t>ba:itemname_officechair</t>
  </si>
  <si>
    <t>Office Lockers</t>
  </si>
  <si>
    <t>ba:itemname_officelockers</t>
  </si>
  <si>
    <t>Office Phone</t>
  </si>
  <si>
    <t>ba:itemname_officephone</t>
  </si>
  <si>
    <t>P&amp;S Peolab 90</t>
  </si>
  <si>
    <t>ba:itemname_loudspeaker3</t>
  </si>
  <si>
    <t>P&amp;S Sympathy 88"</t>
  </si>
  <si>
    <t>ba:itemname_expensivetv</t>
  </si>
  <si>
    <t>Padded Wooden Chair</t>
  </si>
  <si>
    <t>ba:itemname_paddedwoodenchair</t>
  </si>
  <si>
    <t>Painting 30x30</t>
  </si>
  <si>
    <t>ba:itemname_painting30x30</t>
  </si>
  <si>
    <t>Painting 40x30</t>
  </si>
  <si>
    <t>ba:itemname_painting40x30</t>
  </si>
  <si>
    <t>Painting 50x70</t>
  </si>
  <si>
    <t>ba:itemname_painting50x70</t>
  </si>
  <si>
    <t>Pallet Shelf</t>
  </si>
  <si>
    <t>ba:itemname_palletshelf</t>
  </si>
  <si>
    <t>Storage Shelf</t>
  </si>
  <si>
    <t>Paper Bin</t>
  </si>
  <si>
    <t>ba:itemname_paperbin</t>
  </si>
  <si>
    <t>Path (Concrete Modular Curve)</t>
  </si>
  <si>
    <t>ba:itemname_pathconcretemodularcurve</t>
  </si>
  <si>
    <t>Decoration, Flat Decoration</t>
  </si>
  <si>
    <t>Path (Concrete Modular Straight)</t>
  </si>
  <si>
    <t>ba:itemname_pathconcretemodularstraight</t>
  </si>
  <si>
    <t>Path (Stone Modular Curve)</t>
  </si>
  <si>
    <t>ba:itemname_pathstonemodularcurve</t>
  </si>
  <si>
    <t>Path (Stone Modular Straight)</t>
  </si>
  <si>
    <t>ba:itemname_pathstonemodularstraight</t>
  </si>
  <si>
    <t>Pattern Carpet</t>
  </si>
  <si>
    <t>ba:itemname_patterncarpet</t>
  </si>
  <si>
    <t>Persian Carpet</t>
  </si>
  <si>
    <t>ba:itemname_persiancarpet</t>
  </si>
  <si>
    <t>Picture Frame</t>
  </si>
  <si>
    <t>ba:itemname_pictureframe</t>
  </si>
  <si>
    <t>Picture Frame (Medium)</t>
  </si>
  <si>
    <t>ba:itemname_pictureframemedium</t>
  </si>
  <si>
    <t>Picture Frame (Small)</t>
  </si>
  <si>
    <t>ba:itemname_pictureframesmall</t>
  </si>
  <si>
    <t>Picture Frame (Square Group)</t>
  </si>
  <si>
    <t>ba:itemname_pictureframegroupsquare</t>
  </si>
  <si>
    <t>Picture Frame (Wall Mounted Group Classic)</t>
  </si>
  <si>
    <t>ba:itemname_wallmountedpictureframegroupclassic</t>
  </si>
  <si>
    <t>Picture Frame (Wall Mounted Group)</t>
  </si>
  <si>
    <t>ba:itemname_wallmountedpictureframegroup</t>
  </si>
  <si>
    <t>Picture Frame 2</t>
  </si>
  <si>
    <t>ba:itemname_pictureframe2</t>
  </si>
  <si>
    <t>Picture Frame 3</t>
  </si>
  <si>
    <t>ba:itemname_pictureframe3</t>
  </si>
  <si>
    <t>Picture Frame 4</t>
  </si>
  <si>
    <t>ba:itemname_pictureframe4</t>
  </si>
  <si>
    <t>Picture Frame 5</t>
  </si>
  <si>
    <t>ba:itemname_pictureframe5</t>
  </si>
  <si>
    <t>Picture Frame 6</t>
  </si>
  <si>
    <t>ba:itemname_pictureframe6</t>
  </si>
  <si>
    <t>Pizza Oven</t>
  </si>
  <si>
    <t>ba:itemname_pizzaoven</t>
  </si>
  <si>
    <t>Plant in Round Vase 1</t>
  </si>
  <si>
    <t>ba:itemname_groundplant05</t>
  </si>
  <si>
    <t>Plant in Round Vase 2</t>
  </si>
  <si>
    <t>ba:itemname_groundplant06</t>
  </si>
  <si>
    <t>Plant in Square Vase 1</t>
  </si>
  <si>
    <t>ba:itemname_groundplant03</t>
  </si>
  <si>
    <t>Plant in Square Vase 2</t>
  </si>
  <si>
    <t>ba:itemname_groundplant07</t>
  </si>
  <si>
    <t>Plant in Tall Vase 1</t>
  </si>
  <si>
    <t>ba:itemname_groundplant01</t>
  </si>
  <si>
    <t>Plant in Tall Vase 2</t>
  </si>
  <si>
    <t>ba:itemname_groundplant02</t>
  </si>
  <si>
    <t>Planter Box</t>
  </si>
  <si>
    <t>ba:itemname_groundplant04</t>
  </si>
  <si>
    <t>Polishing Machine</t>
  </si>
  <si>
    <t>ba:itemname_polishingmachine</t>
  </si>
  <si>
    <t>Pre-Lit Artificial Christmas Tree</t>
  </si>
  <si>
    <t>ba:itemname_christmastree</t>
  </si>
  <si>
    <t>Printer</t>
  </si>
  <si>
    <t>ba:itemname_printertable</t>
  </si>
  <si>
    <t>Printer (Floor Standing)</t>
  </si>
  <si>
    <t>ba:itemname_printer</t>
  </si>
  <si>
    <t>Product Panel</t>
  </si>
  <si>
    <t>ba:itemname_productpanel</t>
  </si>
  <si>
    <t>Product Sign (Hanging Rectangular)</t>
  </si>
  <si>
    <t>ba:itemname_hangingproductsignrectangular</t>
  </si>
  <si>
    <t>Product Sign (Hanging Square)</t>
  </si>
  <si>
    <t>ba:itemname_hangingproductsignsquare</t>
  </si>
  <si>
    <t>Product Sign (Wall)</t>
  </si>
  <si>
    <t>ba:itemname_wallproductsign</t>
  </si>
  <si>
    <t>Projection Booth</t>
  </si>
  <si>
    <t>ba:itemname_boothprojection</t>
  </si>
  <si>
    <t>Public Shower</t>
  </si>
  <si>
    <t>ba:itemname_publicshower</t>
  </si>
  <si>
    <t>Activity, Business Requirement</t>
  </si>
  <si>
    <t>Pull-Up Bar</t>
  </si>
  <si>
    <t>ba:itemname_pullupbar</t>
  </si>
  <si>
    <t>Range Hood</t>
  </si>
  <si>
    <t>ba:itemname_ceilingrangehood</t>
  </si>
  <si>
    <t>Range Hood (Wooden)</t>
  </si>
  <si>
    <t>ba:itemname_ceilingrangehoodwooden</t>
  </si>
  <si>
    <t>Recycling Bin Bottles</t>
  </si>
  <si>
    <t>ba:itemname_recyclingbinbottles</t>
  </si>
  <si>
    <t>Recycling Bin Cans</t>
  </si>
  <si>
    <t>ba:itemname_recyclingbincans</t>
  </si>
  <si>
    <t>Recycling Bin Paper</t>
  </si>
  <si>
    <t>ba:itemname_recyclingbinpaper</t>
  </si>
  <si>
    <t>Regal Carpet</t>
  </si>
  <si>
    <t>ba:itemname_rug02</t>
  </si>
  <si>
    <t>Regular Chair</t>
  </si>
  <si>
    <t>ba:itemname_regularchair</t>
  </si>
  <si>
    <t>Restaurant Booth</t>
  </si>
  <si>
    <t>ba:itemname_restaurantbooth</t>
  </si>
  <si>
    <t>Seat, Table</t>
  </si>
  <si>
    <t>Roller Blinds</t>
  </si>
  <si>
    <t>ba:itemname_blindroller</t>
  </si>
  <si>
    <t>Room Divider (Folding)</t>
  </si>
  <si>
    <t>ba:itemname_foldingroomdivider</t>
  </si>
  <si>
    <t>Room Divider (Glass Pattern)</t>
  </si>
  <si>
    <t>ba:itemname_glasspatternroomdivider</t>
  </si>
  <si>
    <t>Room Divider (Glass)</t>
  </si>
  <si>
    <t>ba:itemname_glassroomdivider</t>
  </si>
  <si>
    <t>Room Divider (Shelf)</t>
  </si>
  <si>
    <t>ba:itemname_shelfroomdivider</t>
  </si>
  <si>
    <t>Room Divider (Sponsor 01)</t>
  </si>
  <si>
    <t>ba:itemname_roomdividersponsor01</t>
  </si>
  <si>
    <t>Room Divider (Sponsor 02)</t>
  </si>
  <si>
    <t>ba:itemname_roomdividersponsor02</t>
  </si>
  <si>
    <t>Room Divider (Windowed)</t>
  </si>
  <si>
    <t>ba:itemname_windowedroomdivider</t>
  </si>
  <si>
    <t>Room Divider (Wooden)</t>
  </si>
  <si>
    <t>ba:itemname_woodenroomdivider</t>
  </si>
  <si>
    <t>Rope Barrier</t>
  </si>
  <si>
    <t>ba:itemname_ropebarrier</t>
  </si>
  <si>
    <t>Round Carpet</t>
  </si>
  <si>
    <t>ba:itemname_roundcarpet</t>
  </si>
  <si>
    <t>Rounded Shelf</t>
  </si>
  <si>
    <t>ba:itemname_roundedshelf</t>
  </si>
  <si>
    <t>Salad Bar</t>
  </si>
  <si>
    <t>ba:itemname_saladbar</t>
  </si>
  <si>
    <t>Scorpio Gaming Setup</t>
  </si>
  <si>
    <t>ba:itemname_scorpiogamingsetup</t>
  </si>
  <si>
    <t>Security Camera</t>
  </si>
  <si>
    <t>ba:itemname_securitycamera</t>
  </si>
  <si>
    <t>Security</t>
  </si>
  <si>
    <t>Security Camera (Dome)</t>
  </si>
  <si>
    <t>ba:itemname_securitycameraroof</t>
  </si>
  <si>
    <t>Security Guard Locker</t>
  </si>
  <si>
    <t>ba:itemname_securityguardlocker</t>
  </si>
  <si>
    <t>Security Panel</t>
  </si>
  <si>
    <t>ba:itemname_securitypanel</t>
  </si>
  <si>
    <t>Security Sign</t>
  </si>
  <si>
    <t>ba:itemname_securitysign</t>
  </si>
  <si>
    <t>Shop Barrier</t>
  </si>
  <si>
    <t>ba:itemname_shopbarrier</t>
  </si>
  <si>
    <t>Shop Entrance Left</t>
  </si>
  <si>
    <t>ba:itemname_shopentranceleft</t>
  </si>
  <si>
    <t>Shop Entrance Right</t>
  </si>
  <si>
    <t>ba:itemname_shopentranceright</t>
  </si>
  <si>
    <t>Shower</t>
  </si>
  <si>
    <t>ba:itemname_shower</t>
  </si>
  <si>
    <t>Shower (Luxury)</t>
  </si>
  <si>
    <t>ba:itemname_showerstructure</t>
  </si>
  <si>
    <t>Shower (Wall Mounted)</t>
  </si>
  <si>
    <t>ba:itemname_wallmountedshowerhead</t>
  </si>
  <si>
    <t>Simple Christmas Present</t>
  </si>
  <si>
    <t>ba:itemname_christmasgift01</t>
  </si>
  <si>
    <t>Sink</t>
  </si>
  <si>
    <t>ba:itemname_sink</t>
  </si>
  <si>
    <t>Slushie Machine</t>
  </si>
  <si>
    <t>ba:itemname_slushimachine</t>
  </si>
  <si>
    <t>Small Cabinet</t>
  </si>
  <si>
    <t>ba:itemname_smallcabinet</t>
  </si>
  <si>
    <t>Small Sign with Text</t>
  </si>
  <si>
    <t>ba:itemname_smallsignwithtext</t>
  </si>
  <si>
    <t>Small Wall Sign With Text</t>
  </si>
  <si>
    <t>ba:itemname_smallwallsignwithtext</t>
  </si>
  <si>
    <t>Soap Dispenser</t>
  </si>
  <si>
    <t>ba:itemname_sinksoapwallmounted</t>
  </si>
  <si>
    <t>Sofa (Blanket)</t>
  </si>
  <si>
    <t>ba:itemname_sofawithblanket</t>
  </si>
  <si>
    <t>Sofa (Luxury Modular Corner Left Pillow)</t>
  </si>
  <si>
    <t>ba:itemname_sofaluxurymodularcornerleftpillow</t>
  </si>
  <si>
    <t>Sofa (Luxury Modular Corner Left)</t>
  </si>
  <si>
    <t>ba:itemname_sofaluxurymodularcornerleft</t>
  </si>
  <si>
    <t>Sofa (Luxury Modular Corner Right Pillow)</t>
  </si>
  <si>
    <t>ba:itemname_sofaluxurymodularcornerrightpillow</t>
  </si>
  <si>
    <t>Sofa (Luxury Modular Corner Right)</t>
  </si>
  <si>
    <t>ba:itemname_sofaluxurymodularcornerright</t>
  </si>
  <si>
    <t>Sofa (Luxury Modular Pillow)</t>
  </si>
  <si>
    <t>ba:itemname_sofaluxurymodularpillow</t>
  </si>
  <si>
    <t>Sofa (Luxury Modular)</t>
  </si>
  <si>
    <t>ba:itemname_sofaluxurymodular</t>
  </si>
  <si>
    <t>Sofa (Luxury)</t>
  </si>
  <si>
    <t>ba:itemname_sofaluxury</t>
  </si>
  <si>
    <t>Sofa (Modular Left)</t>
  </si>
  <si>
    <t>ba:itemname_modularsofa1l</t>
  </si>
  <si>
    <t>Sofa (Modular Middle)</t>
  </si>
  <si>
    <t>ba:itemname_modularsofa1m</t>
  </si>
  <si>
    <t>Sofa (Modular Right)</t>
  </si>
  <si>
    <t>ba:itemname_modularsofa1r</t>
  </si>
  <si>
    <t>Sofa (Preben with Chaiselong Left)</t>
  </si>
  <si>
    <t>ba:itemname_cornersofa02left</t>
  </si>
  <si>
    <t>Sofa (Preben with Chaiselong Right)</t>
  </si>
  <si>
    <t>ba:itemname_cornersofa02right</t>
  </si>
  <si>
    <t>Sofa (Preben)</t>
  </si>
  <si>
    <t>ba:itemname_cornersofa01</t>
  </si>
  <si>
    <t>Sommerhus Arm Chair</t>
  </si>
  <si>
    <t>ba:itemname_armchair1</t>
  </si>
  <si>
    <t>Sound Booth</t>
  </si>
  <si>
    <t>ba:itemname_boothsound</t>
  </si>
  <si>
    <t>Spotlight (Roof)</t>
  </si>
  <si>
    <t>ba:itemname_roofspotlight</t>
  </si>
  <si>
    <t>Squats Station</t>
  </si>
  <si>
    <t>ba:itemname_squatsstation</t>
  </si>
  <si>
    <t>Stack Of Books</t>
  </si>
  <si>
    <t>ba:itemname_stackofbooks</t>
  </si>
  <si>
    <t>Stack Of Shopping Baskets</t>
  </si>
  <si>
    <t>ba:itemname_stackofshoppingbaskets</t>
  </si>
  <si>
    <t>Staff Only Sign</t>
  </si>
  <si>
    <t>ba:itemname_signstaffonly</t>
  </si>
  <si>
    <t>Stage Lights</t>
  </si>
  <si>
    <t>ba:itemname_stagelights</t>
  </si>
  <si>
    <t>Standard Dance Floor</t>
  </si>
  <si>
    <t>ba:itemname_dancefloor6x6</t>
  </si>
  <si>
    <t>Standard Fridge</t>
  </si>
  <si>
    <t>ba:itemname_standardfridge</t>
  </si>
  <si>
    <t>Standard Office Desk</t>
  </si>
  <si>
    <t>ba:itemname_officedesk1</t>
  </si>
  <si>
    <t>Standing Digital Scale</t>
  </si>
  <si>
    <t>ba:itemname_standingdigitalscale</t>
  </si>
  <si>
    <t>ba:itemname_storageshelf</t>
  </si>
  <si>
    <t>Stove Oven</t>
  </si>
  <si>
    <t>ba:itemname_stoveoven</t>
  </si>
  <si>
    <t>Stump Mesh Office Chair</t>
  </si>
  <si>
    <t>ba:itemname_officechair2</t>
  </si>
  <si>
    <t>Sun Lounger Chair</t>
  </si>
  <si>
    <t>ba:itemname_sunloungerchair</t>
  </si>
  <si>
    <t>Sun Lounger Chair (Luxury)</t>
  </si>
  <si>
    <t>ba:itemname_sunloungerchairluxury</t>
  </si>
  <si>
    <t>Sun Lounger Chair (Wooden)</t>
  </si>
  <si>
    <t>ba:itemname_sunloungerchairwooden</t>
  </si>
  <si>
    <t>Sun Umbrella</t>
  </si>
  <si>
    <t>ba:itemname_sunumbrella</t>
  </si>
  <si>
    <t>Sun Umbrella (Garden)</t>
  </si>
  <si>
    <t>ba:itemname_sunumbrellagarden</t>
  </si>
  <si>
    <t>Sun Umbrella (Gazebo)</t>
  </si>
  <si>
    <t>ba:itemname_sunumbrellagazebo</t>
  </si>
  <si>
    <t>Sun Umbrella (Table)</t>
  </si>
  <si>
    <t>ba:itemname_sunumbrellatable</t>
  </si>
  <si>
    <t>Sunburst Carpet</t>
  </si>
  <si>
    <t>ba:itemname_rug01</t>
  </si>
  <si>
    <t>Table (Rectangular Large)</t>
  </si>
  <si>
    <t>ba:itemname_tablerectangularlarge</t>
  </si>
  <si>
    <t>Desk, Table</t>
  </si>
  <si>
    <t>Table (Rectangular)</t>
  </si>
  <si>
    <t>ba:itemname_table1</t>
  </si>
  <si>
    <t>Table (Round Large)</t>
  </si>
  <si>
    <t>ba:itemname_tableroundedlarge</t>
  </si>
  <si>
    <t>Table (Round)</t>
  </si>
  <si>
    <t>ba:itemname_roundtable</t>
  </si>
  <si>
    <t>Tall Potted Plant</t>
  </si>
  <si>
    <t>ba:itemname_pottedplant1</t>
  </si>
  <si>
    <t>Tennis Trophy</t>
  </si>
  <si>
    <t>ba:itemname_trophytennis</t>
  </si>
  <si>
    <t>Theater Chair</t>
  </si>
  <si>
    <t>ba:itemname_chairtheater</t>
  </si>
  <si>
    <t>Theater Chair 4 Modular</t>
  </si>
  <si>
    <t>ba:itemname_chairtheater4modular</t>
  </si>
  <si>
    <t>Theater Chair Modular</t>
  </si>
  <si>
    <t>ba:itemname_chairtheatermodular</t>
  </si>
  <si>
    <t>Theater Curtain</t>
  </si>
  <si>
    <t>ba:itemname_theatercurtainshort</t>
  </si>
  <si>
    <t>Theater Curtain (Left)</t>
  </si>
  <si>
    <t>ba:itemname_theatercurtainleft</t>
  </si>
  <si>
    <t>Theater Curtain (Right)</t>
  </si>
  <si>
    <t>ba:itemname_theatercurtainright</t>
  </si>
  <si>
    <t>Theater Curtain (Wide)</t>
  </si>
  <si>
    <t>ba:itemname_theatercurtain</t>
  </si>
  <si>
    <t>Theater Ticket Booth</t>
  </si>
  <si>
    <t>ba:itemname_boothticket</t>
  </si>
  <si>
    <t>Theater Valance Curtain</t>
  </si>
  <si>
    <t>ba:itemname_theatercurtainroof</t>
  </si>
  <si>
    <t>Tobacco Shelf (Large)</t>
  </si>
  <si>
    <t>ba:itemname_tobaccoshelf1</t>
  </si>
  <si>
    <t>Tobacco Shelf (Medium)</t>
  </si>
  <si>
    <t>ba:itemname_tobaccoshelf2</t>
  </si>
  <si>
    <t>Tobacco Shelf (Small)</t>
  </si>
  <si>
    <t>ba:itemname_tobaccoshelf3</t>
  </si>
  <si>
    <t>Toilet</t>
  </si>
  <si>
    <t>ba:itemname_toilet</t>
  </si>
  <si>
    <t>Toilet (Classic)</t>
  </si>
  <si>
    <t>ba:itemname_toiletclassic</t>
  </si>
  <si>
    <t>Toilet (Modern Tankless)</t>
  </si>
  <si>
    <t>ba:itemname_toiletmodern02</t>
  </si>
  <si>
    <t>Toilet (Modern)</t>
  </si>
  <si>
    <t>ba:itemname_toiletmodern01</t>
  </si>
  <si>
    <t>Toilet Roll Holder</t>
  </si>
  <si>
    <t>ba:itemname_paperholder</t>
  </si>
  <si>
    <t>Traffic Sign 1</t>
  </si>
  <si>
    <t>ba:itemname_trafficsign01</t>
  </si>
  <si>
    <t>Traffic Sign 2</t>
  </si>
  <si>
    <t>ba:itemname_trafficsign02</t>
  </si>
  <si>
    <t>Trash Bin</t>
  </si>
  <si>
    <t>ba:itemname_trashbin</t>
  </si>
  <si>
    <t>Treadmill</t>
  </si>
  <si>
    <t>ba:itemname_treadmill</t>
  </si>
  <si>
    <t>Turnstile Arm</t>
  </si>
  <si>
    <t>ba:itemname_turnstilearm</t>
  </si>
  <si>
    <t>Turnstile Pillar</t>
  </si>
  <si>
    <t>ba:itemname_turnstilepillar</t>
  </si>
  <si>
    <t>Umbrella Stand</t>
  </si>
  <si>
    <t>ba:itemname_umbrellastand</t>
  </si>
  <si>
    <t>Uniform Locker</t>
  </si>
  <si>
    <t>ba:itemname_uniformlocker</t>
  </si>
  <si>
    <t>Valencia Chair</t>
  </si>
  <si>
    <t>ba:itemname_valenciachair</t>
  </si>
  <si>
    <t>Valencia Ottoman</t>
  </si>
  <si>
    <t>ba:itemname_valenciaottoman</t>
  </si>
  <si>
    <t>Vanity Mirror</t>
  </si>
  <si>
    <t>ba:itemname_mirrorvanity</t>
  </si>
  <si>
    <t>Vanity Mirror (Wall Mounted)</t>
  </si>
  <si>
    <t>ba:itemname_mirrorvanitywallmounted</t>
  </si>
  <si>
    <t>Venetian Blinds</t>
  </si>
  <si>
    <t>ba:itemname_blindvenetian</t>
  </si>
  <si>
    <t>Wall Clock</t>
  </si>
  <si>
    <t>ba:itemname_wallclock</t>
  </si>
  <si>
    <t>Wall Clock (Large)</t>
  </si>
  <si>
    <t>ba:itemname_largewallclock</t>
  </si>
  <si>
    <t>Wall Light (Dome)</t>
  </si>
  <si>
    <t>ba:itemname_walllight01</t>
  </si>
  <si>
    <t>Wall Light (Elongated)</t>
  </si>
  <si>
    <t>ba:itemname_walllight02</t>
  </si>
  <si>
    <t>Wall Light (Industrial)</t>
  </si>
  <si>
    <t>ba:itemname_walllightwarehouse</t>
  </si>
  <si>
    <t>Wall Light (Luxury)</t>
  </si>
  <si>
    <t>ba:itemname_walllightluxury</t>
  </si>
  <si>
    <t>Wall Mounted Barbells</t>
  </si>
  <si>
    <t>ba:itemname_wallmountedbarbells</t>
  </si>
  <si>
    <t>Wall Mounted Cabinet</t>
  </si>
  <si>
    <t>ba:itemname_wallmountedcabinet</t>
  </si>
  <si>
    <t>Wall Mounted Cabinet (Marble Corner Left)</t>
  </si>
  <si>
    <t>ba:itemname_wallmountedcabinetmarblecornerleft</t>
  </si>
  <si>
    <t>Wall Mounted Cabinet (Marble Corner Right)</t>
  </si>
  <si>
    <t>ba:itemname_wallmountedcabinetmarblecornerright</t>
  </si>
  <si>
    <t>Wall Mounted Cabinet (Marble)</t>
  </si>
  <si>
    <t>ba:itemname_wallmountedcabinetmarble</t>
  </si>
  <si>
    <t>Wall Mounted Cabinet (Modern)</t>
  </si>
  <si>
    <t>ba:itemname_wallmountedcabinetmodern</t>
  </si>
  <si>
    <t>Wall Mounted Mirror (Irregular)</t>
  </si>
  <si>
    <t>ba:itemname_wallmountedmirrorirregular</t>
  </si>
  <si>
    <t>Wall Mounted Mirror (Modern)</t>
  </si>
  <si>
    <t>ba:itemname_wallmountedmirrormodern</t>
  </si>
  <si>
    <t>Wall Mounted TV (Modern)</t>
  </si>
  <si>
    <t>ba:itemname_wallmountedtvmodern</t>
  </si>
  <si>
    <t>Wall Mounted TV (XL)</t>
  </si>
  <si>
    <t>ba:itemname_wallmountedtvxl</t>
  </si>
  <si>
    <t>Wall Mounted TV Stand</t>
  </si>
  <si>
    <t>ba:itemname_wallmountedtvstand</t>
  </si>
  <si>
    <t>Wall Plant</t>
  </si>
  <si>
    <t>ba:itemname_wallplant01</t>
  </si>
  <si>
    <t>Wall Radiator</t>
  </si>
  <si>
    <t>ba:itemname_wallradiator</t>
  </si>
  <si>
    <t>Wardrobe</t>
  </si>
  <si>
    <t>ba:itemname_wardrobe</t>
  </si>
  <si>
    <t>Wardrobe (Big Modular Open)</t>
  </si>
  <si>
    <t>ba:itemname_wardrobebigopenmodular</t>
  </si>
  <si>
    <t>Wardrobe (Big Modular)</t>
  </si>
  <si>
    <t>ba:itemname_wardrobebigmodular</t>
  </si>
  <si>
    <t>Wardrobe (Rustic Modular Shelves)</t>
  </si>
  <si>
    <t>ba:itemname_wardroberusticshelvesmodular</t>
  </si>
  <si>
    <t>Wardrobe (Rustic Modular)</t>
  </si>
  <si>
    <t>ba:itemname_wardroberusticmodular</t>
  </si>
  <si>
    <t>Wardrobe (Wall)</t>
  </si>
  <si>
    <t>ba:itemname_wardrobewall</t>
  </si>
  <si>
    <t>Water Cooler</t>
  </si>
  <si>
    <t>ba:itemname_watercooler</t>
  </si>
  <si>
    <t>Water Fountain</t>
  </si>
  <si>
    <t>ba:itemname_waterfountain</t>
  </si>
  <si>
    <t>Wavy Carpet</t>
  </si>
  <si>
    <t>ba:itemname_colorfulcarpet</t>
  </si>
  <si>
    <t>Wine Shelf</t>
  </si>
  <si>
    <t>ba:itemname_wineshelf</t>
  </si>
  <si>
    <t>Wooden Product Crate</t>
  </si>
  <si>
    <t>ba:itemname_woodenproductcrate</t>
  </si>
  <si>
    <t>Workout Bench</t>
  </si>
  <si>
    <t>ba:itemname_workoutbench</t>
  </si>
  <si>
    <t>ZanaMan Computer</t>
  </si>
  <si>
    <t>ba:itemname_desktopcomputer</t>
  </si>
  <si>
    <t>Big Ambitions - Items, Importers &amp; Prices</t>
  </si>
  <si>
    <t>Source</t>
  </si>
  <si>
    <t>Extracted directly from the installed game files (Addressables bundles in Big Ambitions_Data/StreamingAssets/aa, decompiled game code for the pricing rules, English names from locale/en.json). Pulled 2026-09-27.</t>
  </si>
  <si>
    <t>Sheets</t>
  </si>
  <si>
    <t>Items</t>
  </si>
  <si>
    <t>Every product in the game (137): 59 raw materials, 61 finished goods, 15 services, plus supplies. Import price, average selling price, margin, box size, weekly order cap, and which businesses sell it.</t>
  </si>
  <si>
    <t>Importers</t>
  </si>
  <si>
    <t>All 8 importers and every item each one sells (4 raw-material importers, 4 finished-goods importers).</t>
  </si>
  <si>
    <t>Recipes</t>
  </si>
  <si>
    <t>All 62 factory recipes: output per hour, machines, ingredient cost per unit, profit per unit, and saving vs buying the finished good from an importer.</t>
  </si>
  <si>
    <t>Recipe Ingredients</t>
  </si>
  <si>
    <t>One row per recipe ingredient (long format) - the easiest sheet to build a bill-of-materials / production calculator from.</t>
  </si>
  <si>
    <t>Business Types</t>
  </si>
  <si>
    <t>Which products each business type sells and how much each contributes to demand.</t>
  </si>
  <si>
    <t>Furniture &amp; Equipment</t>
  </si>
  <si>
    <t>Purchase price of every buyable furniture / machine / shelf (530 items), incl. the factory machines.</t>
  </si>
  <si>
    <t>How prices work</t>
  </si>
  <si>
    <t>Import Price</t>
  </si>
  <si>
    <t>Base importer price (wholesalePrice). What you actually pay = base x that product's market price index (moves with shortage/surplus market events) x the difficulty market multiplier. Purchasing agents can get a discount on top.</t>
  </si>
  <si>
    <t>Avg Selling Price</t>
  </si>
  <si>
    <t>The game's default market price for the product (defaultMarketPrice). The optimal price the game suggests in a neighborhood = this x that neighborhood's average price index (+30% if you have a monopoly on the product there).</t>
  </si>
  <si>
    <t>Raw materials</t>
  </si>
  <si>
    <t>Raw materials are not sold to customers, so their selling price is left blank. (The game data holds placeholder values such as $0.01 or $10 for them.)</t>
  </si>
  <si>
    <t>Factory output</t>
  </si>
  <si>
    <t>Each recipe runs once per in-game hour per staffed workstation. Output = recipe amount x (factory-worker skill / 2 + 50)%, so 50% at skill 0 and 100% at skill 100; ingredient usage is the full recipe amount.</t>
  </si>
  <si>
    <t>Importer caps</t>
  </si>
  <si>
    <t>Max Import Order / Importer / Week is the per-importer weekly amount for that product. Imports are delivered on Mondays.</t>
  </si>
  <si>
    <t>"*" importers</t>
  </si>
  <si>
    <t>Items marked * are only sold by that importer when the new-game setting "all products available from importers" is on (expensive clothing, expensive jewelry, phones, smartwatches).</t>
  </si>
  <si>
    <t>Colour key</t>
  </si>
  <si>
    <t>Blue text = values taken straight from the game data.  Black = formulas.  Green = formulas pulling from another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</si>
</sst>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.00;($#,##0.00);&quot;-&quot;"/>
    <numFmt numFmtId="165" formatCode="0.0%;(0.0%);&quot;-&quot;"/>
    <numFmt numFmtId="166" formatCode="#,##0.000"/>
    <numFmt numFmtId="167" formatCode="$#,##0;($#,##0);&quot;-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color rgb="FF0000FF"/>
      <sz val="10"/>
      <name val="Arial"/>
    </font>
    <font>
      <color rgb="FF008000"/>
      <sz val="10"/>
      <name val="Arial"/>
    </font>
    <font>
      <b/>
      <sz val="14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3" fontId="3" fillId="0" borderId="0" xfId="0" applyNumberFormat="1" applyFont="1"/>
    <xf numFmtId="0" fontId="2" fillId="0" borderId="0" xfId="0" applyFont="1" applyAlignment="1">
      <alignment horizontal="center"/>
    </xf>
    <xf numFmtId="164" fontId="4" fillId="0" borderId="0" xfId="0" applyNumberFormat="1" applyFont="1"/>
    <xf numFmtId="3" fontId="4" fillId="0" borderId="0" xfId="0" applyNumberFormat="1" applyFont="1"/>
    <xf numFmtId="166" fontId="4" fillId="0" borderId="0" xfId="0" applyNumberFormat="1" applyFont="1"/>
    <xf numFmtId="3" fontId="2" fillId="0" borderId="0" xfId="0" applyNumberFormat="1" applyFont="1"/>
    <xf numFmtId="167" fontId="2" fillId="0" borderId="0" xfId="0" applyNumberFormat="1" applyFont="1"/>
    <xf numFmtId="2" fontId="3" fillId="0" borderId="0" xfId="0" applyNumberFormat="1" applyFont="1"/>
    <xf numFmtId="167" fontId="3" fillId="0" borderId="0" xfId="0" applyNumberFormat="1" applyFont="1"/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N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6" customWidth="1"/>
    <col min="3" max="3" width="26" customWidth="1"/>
    <col min="4" max="4" width="44" customWidth="1"/>
    <col min="5" max="7" width="13" customWidth="1"/>
    <col min="8" max="8" width="11" customWidth="1"/>
    <col min="9" max="9" width="10" customWidth="1"/>
    <col min="10" max="10" width="13" customWidth="1"/>
    <col min="11" max="11" width="14" customWidth="1"/>
    <col min="12" max="13" width="11" customWidth="1"/>
    <col min="14" max="14" width="48" customWidth="1"/>
  </cols>
  <sheetData>
    <row r="1" ht="3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3">
        <v>0.1</v>
      </c>
      <c r="F2" s="3"/>
      <c r="G2" s="4" t="str">
        <f>IF(AND(ISNUMBER(E2),ISNUMBER(F2)),F2-E2,"")</f>
        <v/>
      </c>
      <c r="H2" s="5" t="str">
        <f>IF(AND(ISNUMBER(G2),N(F2)&gt;0),G2/F2,"")</f>
        <v/>
      </c>
      <c r="I2" s="6">
        <v>500</v>
      </c>
      <c r="J2" s="4">
        <f>IF(AND(ISNUMBER(E2),ISNUMBER(I2)),E2*I2,"")</f>
        <v>50</v>
      </c>
      <c r="K2" s="6">
        <v>5000</v>
      </c>
      <c r="L2" s="7" t="s">
        <v>18</v>
      </c>
      <c r="M2" s="7" t="s">
        <v>19</v>
      </c>
      <c r="N2" s="2" t="s">
        <v>20</v>
      </c>
    </row>
    <row r="3" spans="1:14" x14ac:dyDescent="0.25">
      <c r="A3" s="2" t="s">
        <v>21</v>
      </c>
      <c r="B3" s="2" t="s">
        <v>22</v>
      </c>
      <c r="C3" s="2" t="s">
        <v>16</v>
      </c>
      <c r="D3" s="2" t="s">
        <v>23</v>
      </c>
      <c r="E3" s="3">
        <v>0.24</v>
      </c>
      <c r="F3" s="3"/>
      <c r="G3" s="4" t="str">
        <f>IF(AND(ISNUMBER(E3),ISNUMBER(F3)),F3-E3,"")</f>
        <v/>
      </c>
      <c r="H3" s="5" t="str">
        <f>IF(AND(ISNUMBER(G3),N(F3)&gt;0),G3/F3,"")</f>
        <v/>
      </c>
      <c r="I3" s="6">
        <v>500</v>
      </c>
      <c r="J3" s="4">
        <f>IF(AND(ISNUMBER(E3),ISNUMBER(I3)),E3*I3,"")</f>
        <v>120</v>
      </c>
      <c r="K3" s="6">
        <v>5000</v>
      </c>
      <c r="L3" s="7" t="s">
        <v>18</v>
      </c>
      <c r="M3" s="7" t="s">
        <v>19</v>
      </c>
      <c r="N3" s="2" t="s">
        <v>20</v>
      </c>
    </row>
    <row r="4" spans="1:14" x14ac:dyDescent="0.25">
      <c r="A4" s="2" t="s">
        <v>24</v>
      </c>
      <c r="B4" s="2" t="s">
        <v>25</v>
      </c>
      <c r="C4" s="2" t="s">
        <v>16</v>
      </c>
      <c r="D4" s="2" t="s">
        <v>26</v>
      </c>
      <c r="E4" s="3">
        <v>16</v>
      </c>
      <c r="F4" s="3"/>
      <c r="G4" s="4" t="str">
        <f>IF(AND(ISNUMBER(E4),ISNUMBER(F4)),F4-E4,"")</f>
        <v/>
      </c>
      <c r="H4" s="5" t="str">
        <f>IF(AND(ISNUMBER(G4),N(F4)&gt;0),G4/F4,"")</f>
        <v/>
      </c>
      <c r="I4" s="6">
        <v>500</v>
      </c>
      <c r="J4" s="4">
        <f>IF(AND(ISNUMBER(E4),ISNUMBER(I4)),E4*I4,"")</f>
        <v>8000</v>
      </c>
      <c r="K4" s="6">
        <v>5000</v>
      </c>
      <c r="L4" s="7" t="s">
        <v>18</v>
      </c>
      <c r="M4" s="7" t="s">
        <v>19</v>
      </c>
      <c r="N4" s="2" t="s">
        <v>20</v>
      </c>
    </row>
    <row r="5" spans="1:14" x14ac:dyDescent="0.25">
      <c r="A5" s="2" t="s">
        <v>27</v>
      </c>
      <c r="B5" s="2" t="s">
        <v>28</v>
      </c>
      <c r="C5" s="2" t="s">
        <v>16</v>
      </c>
      <c r="D5" s="2" t="s">
        <v>23</v>
      </c>
      <c r="E5" s="3">
        <v>0.12</v>
      </c>
      <c r="F5" s="3"/>
      <c r="G5" s="4" t="str">
        <f>IF(AND(ISNUMBER(E5),ISNUMBER(F5)),F5-E5,"")</f>
        <v/>
      </c>
      <c r="H5" s="5" t="str">
        <f>IF(AND(ISNUMBER(G5),N(F5)&gt;0),G5/F5,"")</f>
        <v/>
      </c>
      <c r="I5" s="6">
        <v>500</v>
      </c>
      <c r="J5" s="4">
        <f>IF(AND(ISNUMBER(E5),ISNUMBER(I5)),E5*I5,"")</f>
        <v>60</v>
      </c>
      <c r="K5" s="6">
        <v>5000</v>
      </c>
      <c r="L5" s="7" t="s">
        <v>18</v>
      </c>
      <c r="M5" s="7" t="s">
        <v>19</v>
      </c>
      <c r="N5" s="2" t="s">
        <v>20</v>
      </c>
    </row>
    <row r="6" spans="1:14" x14ac:dyDescent="0.25">
      <c r="A6" s="2" t="s">
        <v>29</v>
      </c>
      <c r="B6" s="2" t="s">
        <v>30</v>
      </c>
      <c r="C6" s="2" t="s">
        <v>16</v>
      </c>
      <c r="D6" s="2" t="s">
        <v>17</v>
      </c>
      <c r="E6" s="3">
        <v>0.5</v>
      </c>
      <c r="F6" s="3"/>
      <c r="G6" s="4" t="str">
        <f>IF(AND(ISNUMBER(E6),ISNUMBER(F6)),F6-E6,"")</f>
        <v/>
      </c>
      <c r="H6" s="5" t="str">
        <f>IF(AND(ISNUMBER(G6),N(F6)&gt;0),G6/F6,"")</f>
        <v/>
      </c>
      <c r="I6" s="6">
        <v>500</v>
      </c>
      <c r="J6" s="4">
        <f>IF(AND(ISNUMBER(E6),ISNUMBER(I6)),E6*I6,"")</f>
        <v>250</v>
      </c>
      <c r="K6" s="6">
        <v>5000</v>
      </c>
      <c r="L6" s="7" t="s">
        <v>18</v>
      </c>
      <c r="M6" s="7" t="s">
        <v>19</v>
      </c>
      <c r="N6" s="2" t="s">
        <v>20</v>
      </c>
    </row>
    <row r="7" spans="1:14" x14ac:dyDescent="0.25">
      <c r="A7" s="2" t="s">
        <v>31</v>
      </c>
      <c r="B7" s="2" t="s">
        <v>32</v>
      </c>
      <c r="C7" s="2" t="s">
        <v>16</v>
      </c>
      <c r="D7" s="2" t="s">
        <v>23</v>
      </c>
      <c r="E7" s="3">
        <v>0.1</v>
      </c>
      <c r="F7" s="3"/>
      <c r="G7" s="4" t="str">
        <f>IF(AND(ISNUMBER(E7),ISNUMBER(F7)),F7-E7,"")</f>
        <v/>
      </c>
      <c r="H7" s="5" t="str">
        <f>IF(AND(ISNUMBER(G7),N(F7)&gt;0),G7/F7,"")</f>
        <v/>
      </c>
      <c r="I7" s="6">
        <v>500</v>
      </c>
      <c r="J7" s="4">
        <f>IF(AND(ISNUMBER(E7),ISNUMBER(I7)),E7*I7,"")</f>
        <v>50</v>
      </c>
      <c r="K7" s="6">
        <v>5000</v>
      </c>
      <c r="L7" s="7" t="s">
        <v>18</v>
      </c>
      <c r="M7" s="7" t="s">
        <v>19</v>
      </c>
      <c r="N7" s="2" t="s">
        <v>20</v>
      </c>
    </row>
    <row r="8" spans="1:14" x14ac:dyDescent="0.25">
      <c r="A8" s="2" t="s">
        <v>33</v>
      </c>
      <c r="B8" s="2" t="s">
        <v>34</v>
      </c>
      <c r="C8" s="2" t="s">
        <v>16</v>
      </c>
      <c r="D8" s="2" t="s">
        <v>26</v>
      </c>
      <c r="E8" s="3">
        <v>6</v>
      </c>
      <c r="F8" s="3"/>
      <c r="G8" s="4" t="str">
        <f>IF(AND(ISNUMBER(E8),ISNUMBER(F8)),F8-E8,"")</f>
        <v/>
      </c>
      <c r="H8" s="5" t="str">
        <f>IF(AND(ISNUMBER(G8),N(F8)&gt;0),G8/F8,"")</f>
        <v/>
      </c>
      <c r="I8" s="6">
        <v>1000</v>
      </c>
      <c r="J8" s="4">
        <f>IF(AND(ISNUMBER(E8),ISNUMBER(I8)),E8*I8,"")</f>
        <v>6000</v>
      </c>
      <c r="K8" s="6">
        <v>5000</v>
      </c>
      <c r="L8" s="7" t="s">
        <v>18</v>
      </c>
      <c r="M8" s="7" t="s">
        <v>19</v>
      </c>
      <c r="N8" s="2" t="s">
        <v>20</v>
      </c>
    </row>
    <row r="9" spans="1:14" x14ac:dyDescent="0.25">
      <c r="A9" s="2" t="s">
        <v>35</v>
      </c>
      <c r="B9" s="2" t="s">
        <v>36</v>
      </c>
      <c r="C9" s="2" t="s">
        <v>16</v>
      </c>
      <c r="D9" s="2" t="s">
        <v>23</v>
      </c>
      <c r="E9" s="3">
        <v>0.01</v>
      </c>
      <c r="F9" s="3"/>
      <c r="G9" s="4" t="str">
        <f>IF(AND(ISNUMBER(E9),ISNUMBER(F9)),F9-E9,"")</f>
        <v/>
      </c>
      <c r="H9" s="5" t="str">
        <f>IF(AND(ISNUMBER(G9),N(F9)&gt;0),G9/F9,"")</f>
        <v/>
      </c>
      <c r="I9" s="6">
        <v>500</v>
      </c>
      <c r="J9" s="4">
        <f>IF(AND(ISNUMBER(E9),ISNUMBER(I9)),E9*I9,"")</f>
        <v>5</v>
      </c>
      <c r="K9" s="6">
        <v>5000</v>
      </c>
      <c r="L9" s="7" t="s">
        <v>18</v>
      </c>
      <c r="M9" s="7" t="s">
        <v>19</v>
      </c>
      <c r="N9" s="2" t="s">
        <v>20</v>
      </c>
    </row>
    <row r="10" spans="1:14" x14ac:dyDescent="0.25">
      <c r="A10" s="2" t="s">
        <v>37</v>
      </c>
      <c r="B10" s="2" t="s">
        <v>38</v>
      </c>
      <c r="C10" s="2" t="s">
        <v>16</v>
      </c>
      <c r="D10" s="2" t="s">
        <v>17</v>
      </c>
      <c r="E10" s="3">
        <v>0.32</v>
      </c>
      <c r="F10" s="3"/>
      <c r="G10" s="4" t="str">
        <f>IF(AND(ISNUMBER(E10),ISNUMBER(F10)),F10-E10,"")</f>
        <v/>
      </c>
      <c r="H10" s="5" t="str">
        <f>IF(AND(ISNUMBER(G10),N(F10)&gt;0),G10/F10,"")</f>
        <v/>
      </c>
      <c r="I10" s="6">
        <v>500</v>
      </c>
      <c r="J10" s="4">
        <f>IF(AND(ISNUMBER(E10),ISNUMBER(I10)),E10*I10,"")</f>
        <v>160</v>
      </c>
      <c r="K10" s="6">
        <v>5000</v>
      </c>
      <c r="L10" s="7" t="s">
        <v>18</v>
      </c>
      <c r="M10" s="7" t="s">
        <v>19</v>
      </c>
      <c r="N10" s="2" t="s">
        <v>20</v>
      </c>
    </row>
    <row r="11" spans="1:14" x14ac:dyDescent="0.25">
      <c r="A11" s="2" t="s">
        <v>39</v>
      </c>
      <c r="B11" s="2" t="s">
        <v>40</v>
      </c>
      <c r="C11" s="2" t="s">
        <v>16</v>
      </c>
      <c r="D11" s="2" t="s">
        <v>17</v>
      </c>
      <c r="E11" s="3">
        <v>0.35</v>
      </c>
      <c r="F11" s="3"/>
      <c r="G11" s="4" t="str">
        <f>IF(AND(ISNUMBER(E11),ISNUMBER(F11)),F11-E11,"")</f>
        <v/>
      </c>
      <c r="H11" s="5" t="str">
        <f>IF(AND(ISNUMBER(G11),N(F11)&gt;0),G11/F11,"")</f>
        <v/>
      </c>
      <c r="I11" s="6">
        <v>500</v>
      </c>
      <c r="J11" s="4">
        <f>IF(AND(ISNUMBER(E11),ISNUMBER(I11)),E11*I11,"")</f>
        <v>175</v>
      </c>
      <c r="K11" s="6">
        <v>5000</v>
      </c>
      <c r="L11" s="7" t="s">
        <v>18</v>
      </c>
      <c r="M11" s="7" t="s">
        <v>19</v>
      </c>
      <c r="N11" s="2" t="s">
        <v>20</v>
      </c>
    </row>
    <row r="12" spans="1:14" x14ac:dyDescent="0.25">
      <c r="A12" s="2" t="s">
        <v>41</v>
      </c>
      <c r="B12" s="2" t="s">
        <v>42</v>
      </c>
      <c r="C12" s="2" t="s">
        <v>16</v>
      </c>
      <c r="D12" s="2" t="s">
        <v>43</v>
      </c>
      <c r="E12" s="3">
        <v>1</v>
      </c>
      <c r="F12" s="3"/>
      <c r="G12" s="4" t="str">
        <f>IF(AND(ISNUMBER(E12),ISNUMBER(F12)),F12-E12,"")</f>
        <v/>
      </c>
      <c r="H12" s="5" t="str">
        <f>IF(AND(ISNUMBER(G12),N(F12)&gt;0),G12/F12,"")</f>
        <v/>
      </c>
      <c r="I12" s="6">
        <v>1000</v>
      </c>
      <c r="J12" s="4">
        <f>IF(AND(ISNUMBER(E12),ISNUMBER(I12)),E12*I12,"")</f>
        <v>1000</v>
      </c>
      <c r="K12" s="6">
        <v>5000</v>
      </c>
      <c r="L12" s="7" t="s">
        <v>18</v>
      </c>
      <c r="M12" s="7" t="s">
        <v>19</v>
      </c>
      <c r="N12" s="2" t="s">
        <v>20</v>
      </c>
    </row>
    <row r="13" spans="1:14" x14ac:dyDescent="0.25">
      <c r="A13" s="2" t="s">
        <v>44</v>
      </c>
      <c r="B13" s="2" t="s">
        <v>45</v>
      </c>
      <c r="C13" s="2" t="s">
        <v>16</v>
      </c>
      <c r="D13" s="2" t="s">
        <v>43</v>
      </c>
      <c r="E13" s="3">
        <v>0.5</v>
      </c>
      <c r="F13" s="3"/>
      <c r="G13" s="4" t="str">
        <f>IF(AND(ISNUMBER(E13),ISNUMBER(F13)),F13-E13,"")</f>
        <v/>
      </c>
      <c r="H13" s="5" t="str">
        <f>IF(AND(ISNUMBER(G13),N(F13)&gt;0),G13/F13,"")</f>
        <v/>
      </c>
      <c r="I13" s="6">
        <v>1000</v>
      </c>
      <c r="J13" s="4">
        <f>IF(AND(ISNUMBER(E13),ISNUMBER(I13)),E13*I13,"")</f>
        <v>500</v>
      </c>
      <c r="K13" s="6">
        <v>5000</v>
      </c>
      <c r="L13" s="7" t="s">
        <v>18</v>
      </c>
      <c r="M13" s="7" t="s">
        <v>19</v>
      </c>
      <c r="N13" s="2" t="s">
        <v>20</v>
      </c>
    </row>
    <row r="14" spans="1:14" x14ac:dyDescent="0.25">
      <c r="A14" s="2" t="s">
        <v>46</v>
      </c>
      <c r="B14" s="2" t="s">
        <v>47</v>
      </c>
      <c r="C14" s="2" t="s">
        <v>16</v>
      </c>
      <c r="D14" s="2" t="s">
        <v>43</v>
      </c>
      <c r="E14" s="3">
        <v>2.5</v>
      </c>
      <c r="F14" s="3"/>
      <c r="G14" s="4" t="str">
        <f>IF(AND(ISNUMBER(E14),ISNUMBER(F14)),F14-E14,"")</f>
        <v/>
      </c>
      <c r="H14" s="5" t="str">
        <f>IF(AND(ISNUMBER(G14),N(F14)&gt;0),G14/F14,"")</f>
        <v/>
      </c>
      <c r="I14" s="6">
        <v>150</v>
      </c>
      <c r="J14" s="4">
        <f>IF(AND(ISNUMBER(E14),ISNUMBER(I14)),E14*I14,"")</f>
        <v>375</v>
      </c>
      <c r="K14" s="6">
        <v>5000</v>
      </c>
      <c r="L14" s="7" t="s">
        <v>18</v>
      </c>
      <c r="M14" s="7" t="s">
        <v>19</v>
      </c>
      <c r="N14" s="2" t="s">
        <v>20</v>
      </c>
    </row>
    <row r="15" spans="1:14" x14ac:dyDescent="0.25">
      <c r="A15" s="2" t="s">
        <v>48</v>
      </c>
      <c r="B15" s="2" t="s">
        <v>49</v>
      </c>
      <c r="C15" s="2" t="s">
        <v>16</v>
      </c>
      <c r="D15" s="2" t="s">
        <v>23</v>
      </c>
      <c r="E15" s="3">
        <v>0.02</v>
      </c>
      <c r="F15" s="3"/>
      <c r="G15" s="4" t="str">
        <f>IF(AND(ISNUMBER(E15),ISNUMBER(F15)),F15-E15,"")</f>
        <v/>
      </c>
      <c r="H15" s="5" t="str">
        <f>IF(AND(ISNUMBER(G15),N(F15)&gt;0),G15/F15,"")</f>
        <v/>
      </c>
      <c r="I15" s="6">
        <v>500</v>
      </c>
      <c r="J15" s="4">
        <f>IF(AND(ISNUMBER(E15),ISNUMBER(I15)),E15*I15,"")</f>
        <v>10</v>
      </c>
      <c r="K15" s="6">
        <v>5000</v>
      </c>
      <c r="L15" s="7" t="s">
        <v>18</v>
      </c>
      <c r="M15" s="7" t="s">
        <v>19</v>
      </c>
      <c r="N15" s="2" t="s">
        <v>20</v>
      </c>
    </row>
    <row r="16" spans="1:14" x14ac:dyDescent="0.25">
      <c r="A16" s="2" t="s">
        <v>50</v>
      </c>
      <c r="B16" s="2" t="s">
        <v>51</v>
      </c>
      <c r="C16" s="2" t="s">
        <v>16</v>
      </c>
      <c r="D16" s="2" t="s">
        <v>26</v>
      </c>
      <c r="E16" s="3">
        <v>8</v>
      </c>
      <c r="F16" s="3"/>
      <c r="G16" s="4" t="str">
        <f>IF(AND(ISNUMBER(E16),ISNUMBER(F16)),F16-E16,"")</f>
        <v/>
      </c>
      <c r="H16" s="5" t="str">
        <f>IF(AND(ISNUMBER(G16),N(F16)&gt;0),G16/F16,"")</f>
        <v/>
      </c>
      <c r="I16" s="6">
        <v>500</v>
      </c>
      <c r="J16" s="4">
        <f>IF(AND(ISNUMBER(E16),ISNUMBER(I16)),E16*I16,"")</f>
        <v>4000</v>
      </c>
      <c r="K16" s="6">
        <v>5000</v>
      </c>
      <c r="L16" s="7" t="s">
        <v>18</v>
      </c>
      <c r="M16" s="7" t="s">
        <v>19</v>
      </c>
      <c r="N16" s="2" t="s">
        <v>20</v>
      </c>
    </row>
    <row r="17" spans="1:14" x14ac:dyDescent="0.25">
      <c r="A17" s="2" t="s">
        <v>52</v>
      </c>
      <c r="B17" s="2" t="s">
        <v>53</v>
      </c>
      <c r="C17" s="2" t="s">
        <v>16</v>
      </c>
      <c r="D17" s="2" t="s">
        <v>17</v>
      </c>
      <c r="E17" s="3">
        <v>0.55</v>
      </c>
      <c r="F17" s="3"/>
      <c r="G17" s="4" t="str">
        <f>IF(AND(ISNUMBER(E17),ISNUMBER(F17)),F17-E17,"")</f>
        <v/>
      </c>
      <c r="H17" s="5" t="str">
        <f>IF(AND(ISNUMBER(G17),N(F17)&gt;0),G17/F17,"")</f>
        <v/>
      </c>
      <c r="I17" s="6">
        <v>500</v>
      </c>
      <c r="J17" s="4">
        <f>IF(AND(ISNUMBER(E17),ISNUMBER(I17)),E17*I17,"")</f>
        <v>275</v>
      </c>
      <c r="K17" s="6">
        <v>5000</v>
      </c>
      <c r="L17" s="7" t="s">
        <v>18</v>
      </c>
      <c r="M17" s="7" t="s">
        <v>19</v>
      </c>
      <c r="N17" s="2" t="s">
        <v>20</v>
      </c>
    </row>
    <row r="18" spans="1:14" x14ac:dyDescent="0.25">
      <c r="A18" s="2" t="s">
        <v>54</v>
      </c>
      <c r="B18" s="2" t="s">
        <v>55</v>
      </c>
      <c r="C18" s="2" t="s">
        <v>16</v>
      </c>
      <c r="D18" s="2" t="s">
        <v>26</v>
      </c>
      <c r="E18" s="3">
        <v>6</v>
      </c>
      <c r="F18" s="3"/>
      <c r="G18" s="4" t="str">
        <f>IF(AND(ISNUMBER(E18),ISNUMBER(F18)),F18-E18,"")</f>
        <v/>
      </c>
      <c r="H18" s="5" t="str">
        <f>IF(AND(ISNUMBER(G18),N(F18)&gt;0),G18/F18,"")</f>
        <v/>
      </c>
      <c r="I18" s="6">
        <v>150</v>
      </c>
      <c r="J18" s="4">
        <f>IF(AND(ISNUMBER(E18),ISNUMBER(I18)),E18*I18,"")</f>
        <v>900</v>
      </c>
      <c r="K18" s="6">
        <v>5000</v>
      </c>
      <c r="L18" s="7" t="s">
        <v>18</v>
      </c>
      <c r="M18" s="7" t="s">
        <v>19</v>
      </c>
      <c r="N18" s="2" t="s">
        <v>20</v>
      </c>
    </row>
    <row r="19" spans="1:14" x14ac:dyDescent="0.25">
      <c r="A19" s="2" t="s">
        <v>56</v>
      </c>
      <c r="B19" s="2" t="s">
        <v>57</v>
      </c>
      <c r="C19" s="2" t="s">
        <v>16</v>
      </c>
      <c r="D19" s="2" t="s">
        <v>26</v>
      </c>
      <c r="E19" s="3">
        <v>12</v>
      </c>
      <c r="F19" s="3"/>
      <c r="G19" s="4" t="str">
        <f>IF(AND(ISNUMBER(E19),ISNUMBER(F19)),F19-E19,"")</f>
        <v/>
      </c>
      <c r="H19" s="5" t="str">
        <f>IF(AND(ISNUMBER(G19),N(F19)&gt;0),G19/F19,"")</f>
        <v/>
      </c>
      <c r="I19" s="6">
        <v>150</v>
      </c>
      <c r="J19" s="4">
        <f>IF(AND(ISNUMBER(E19),ISNUMBER(I19)),E19*I19,"")</f>
        <v>1800</v>
      </c>
      <c r="K19" s="6">
        <v>5000</v>
      </c>
      <c r="L19" s="7" t="s">
        <v>18</v>
      </c>
      <c r="M19" s="7" t="s">
        <v>19</v>
      </c>
      <c r="N19" s="2" t="s">
        <v>20</v>
      </c>
    </row>
    <row r="20" spans="1:14" x14ac:dyDescent="0.25">
      <c r="A20" s="2" t="s">
        <v>58</v>
      </c>
      <c r="B20" s="2" t="s">
        <v>59</v>
      </c>
      <c r="C20" s="2" t="s">
        <v>16</v>
      </c>
      <c r="D20" s="2" t="s">
        <v>23</v>
      </c>
      <c r="E20" s="3">
        <v>0.04</v>
      </c>
      <c r="F20" s="3"/>
      <c r="G20" s="4" t="str">
        <f>IF(AND(ISNUMBER(E20),ISNUMBER(F20)),F20-E20,"")</f>
        <v/>
      </c>
      <c r="H20" s="5" t="str">
        <f>IF(AND(ISNUMBER(G20),N(F20)&gt;0),G20/F20,"")</f>
        <v/>
      </c>
      <c r="I20" s="6">
        <v>500</v>
      </c>
      <c r="J20" s="4">
        <f>IF(AND(ISNUMBER(E20),ISNUMBER(I20)),E20*I20,"")</f>
        <v>20</v>
      </c>
      <c r="K20" s="6">
        <v>5000</v>
      </c>
      <c r="L20" s="7" t="s">
        <v>18</v>
      </c>
      <c r="M20" s="7" t="s">
        <v>19</v>
      </c>
      <c r="N20" s="2" t="s">
        <v>20</v>
      </c>
    </row>
    <row r="21" spans="1:14" x14ac:dyDescent="0.25">
      <c r="A21" s="2" t="s">
        <v>60</v>
      </c>
      <c r="B21" s="2" t="s">
        <v>61</v>
      </c>
      <c r="C21" s="2" t="s">
        <v>16</v>
      </c>
      <c r="D21" s="2" t="s">
        <v>62</v>
      </c>
      <c r="E21" s="3">
        <v>0.5</v>
      </c>
      <c r="F21" s="3"/>
      <c r="G21" s="4" t="str">
        <f>IF(AND(ISNUMBER(E21),ISNUMBER(F21)),F21-E21,"")</f>
        <v/>
      </c>
      <c r="H21" s="5" t="str">
        <f>IF(AND(ISNUMBER(G21),N(F21)&gt;0),G21/F21,"")</f>
        <v/>
      </c>
      <c r="I21" s="6">
        <v>500</v>
      </c>
      <c r="J21" s="4">
        <f>IF(AND(ISNUMBER(E21),ISNUMBER(I21)),E21*I21,"")</f>
        <v>250</v>
      </c>
      <c r="K21" s="6">
        <v>5000</v>
      </c>
      <c r="L21" s="7" t="s">
        <v>18</v>
      </c>
      <c r="M21" s="7" t="s">
        <v>19</v>
      </c>
      <c r="N21" s="2" t="s">
        <v>20</v>
      </c>
    </row>
    <row r="22" spans="1:14" x14ac:dyDescent="0.25">
      <c r="A22" s="2" t="s">
        <v>63</v>
      </c>
      <c r="B22" s="2" t="s">
        <v>64</v>
      </c>
      <c r="C22" s="2" t="s">
        <v>16</v>
      </c>
      <c r="D22" s="2" t="s">
        <v>23</v>
      </c>
      <c r="E22" s="3">
        <v>0.35</v>
      </c>
      <c r="F22" s="3"/>
      <c r="G22" s="4" t="str">
        <f>IF(AND(ISNUMBER(E22),ISNUMBER(F22)),F22-E22,"")</f>
        <v/>
      </c>
      <c r="H22" s="5" t="str">
        <f>IF(AND(ISNUMBER(G22),N(F22)&gt;0),G22/F22,"")</f>
        <v/>
      </c>
      <c r="I22" s="6">
        <v>500</v>
      </c>
      <c r="J22" s="4">
        <f>IF(AND(ISNUMBER(E22),ISNUMBER(I22)),E22*I22,"")</f>
        <v>175</v>
      </c>
      <c r="K22" s="6">
        <v>5000</v>
      </c>
      <c r="L22" s="7" t="s">
        <v>18</v>
      </c>
      <c r="M22" s="7" t="s">
        <v>19</v>
      </c>
      <c r="N22" s="2" t="s">
        <v>20</v>
      </c>
    </row>
    <row r="23" spans="1:14" x14ac:dyDescent="0.25">
      <c r="A23" s="2" t="s">
        <v>65</v>
      </c>
      <c r="B23" s="2" t="s">
        <v>66</v>
      </c>
      <c r="C23" s="2" t="s">
        <v>16</v>
      </c>
      <c r="D23" s="2" t="s">
        <v>17</v>
      </c>
      <c r="E23" s="3">
        <v>0.55</v>
      </c>
      <c r="F23" s="3"/>
      <c r="G23" s="4" t="str">
        <f>IF(AND(ISNUMBER(E23),ISNUMBER(F23)),F23-E23,"")</f>
        <v/>
      </c>
      <c r="H23" s="5" t="str">
        <f>IF(AND(ISNUMBER(G23),N(F23)&gt;0),G23/F23,"")</f>
        <v/>
      </c>
      <c r="I23" s="6">
        <v>500</v>
      </c>
      <c r="J23" s="4">
        <f>IF(AND(ISNUMBER(E23),ISNUMBER(I23)),E23*I23,"")</f>
        <v>275</v>
      </c>
      <c r="K23" s="6">
        <v>5000</v>
      </c>
      <c r="L23" s="7" t="s">
        <v>18</v>
      </c>
      <c r="M23" s="7" t="s">
        <v>19</v>
      </c>
      <c r="N23" s="2" t="s">
        <v>20</v>
      </c>
    </row>
    <row r="24" spans="1:14" x14ac:dyDescent="0.25">
      <c r="A24" s="2" t="s">
        <v>67</v>
      </c>
      <c r="B24" s="2" t="s">
        <v>68</v>
      </c>
      <c r="C24" s="2" t="s">
        <v>16</v>
      </c>
      <c r="D24" s="2" t="s">
        <v>23</v>
      </c>
      <c r="E24" s="3">
        <v>0.12</v>
      </c>
      <c r="F24" s="3"/>
      <c r="G24" s="4" t="str">
        <f>IF(AND(ISNUMBER(E24),ISNUMBER(F24)),F24-E24,"")</f>
        <v/>
      </c>
      <c r="H24" s="5" t="str">
        <f>IF(AND(ISNUMBER(G24),N(F24)&gt;0),G24/F24,"")</f>
        <v/>
      </c>
      <c r="I24" s="6">
        <v>500</v>
      </c>
      <c r="J24" s="4">
        <f>IF(AND(ISNUMBER(E24),ISNUMBER(I24)),E24*I24,"")</f>
        <v>60</v>
      </c>
      <c r="K24" s="6">
        <v>5000</v>
      </c>
      <c r="L24" s="7" t="s">
        <v>18</v>
      </c>
      <c r="M24" s="7" t="s">
        <v>19</v>
      </c>
      <c r="N24" s="2" t="s">
        <v>20</v>
      </c>
    </row>
    <row r="25" spans="1:14" x14ac:dyDescent="0.25">
      <c r="A25" s="2" t="s">
        <v>69</v>
      </c>
      <c r="B25" s="2" t="s">
        <v>70</v>
      </c>
      <c r="C25" s="2" t="s">
        <v>16</v>
      </c>
      <c r="D25" s="2" t="s">
        <v>23</v>
      </c>
      <c r="E25" s="3">
        <v>2.5</v>
      </c>
      <c r="F25" s="3"/>
      <c r="G25" s="4" t="str">
        <f>IF(AND(ISNUMBER(E25),ISNUMBER(F25)),F25-E25,"")</f>
        <v/>
      </c>
      <c r="H25" s="5" t="str">
        <f>IF(AND(ISNUMBER(G25),N(F25)&gt;0),G25/F25,"")</f>
        <v/>
      </c>
      <c r="I25" s="6">
        <v>500</v>
      </c>
      <c r="J25" s="4">
        <f>IF(AND(ISNUMBER(E25),ISNUMBER(I25)),E25*I25,"")</f>
        <v>1250</v>
      </c>
      <c r="K25" s="6">
        <v>5000</v>
      </c>
      <c r="L25" s="7" t="s">
        <v>18</v>
      </c>
      <c r="M25" s="7" t="s">
        <v>19</v>
      </c>
      <c r="N25" s="2" t="s">
        <v>20</v>
      </c>
    </row>
    <row r="26" spans="1:14" x14ac:dyDescent="0.25">
      <c r="A26" s="2" t="s">
        <v>71</v>
      </c>
      <c r="B26" s="2" t="s">
        <v>72</v>
      </c>
      <c r="C26" s="2" t="s">
        <v>16</v>
      </c>
      <c r="D26" s="2" t="s">
        <v>23</v>
      </c>
      <c r="E26" s="3">
        <v>0.02</v>
      </c>
      <c r="F26" s="3"/>
      <c r="G26" s="4" t="str">
        <f>IF(AND(ISNUMBER(E26),ISNUMBER(F26)),F26-E26,"")</f>
        <v/>
      </c>
      <c r="H26" s="5" t="str">
        <f>IF(AND(ISNUMBER(G26),N(F26)&gt;0),G26/F26,"")</f>
        <v/>
      </c>
      <c r="I26" s="6">
        <v>500</v>
      </c>
      <c r="J26" s="4">
        <f>IF(AND(ISNUMBER(E26),ISNUMBER(I26)),E26*I26,"")</f>
        <v>10</v>
      </c>
      <c r="K26" s="6">
        <v>5000</v>
      </c>
      <c r="L26" s="7" t="s">
        <v>18</v>
      </c>
      <c r="M26" s="7" t="s">
        <v>19</v>
      </c>
      <c r="N26" s="2" t="s">
        <v>20</v>
      </c>
    </row>
    <row r="27" spans="1:14" x14ac:dyDescent="0.25">
      <c r="A27" s="2" t="s">
        <v>73</v>
      </c>
      <c r="B27" s="2" t="s">
        <v>74</v>
      </c>
      <c r="C27" s="2" t="s">
        <v>16</v>
      </c>
      <c r="D27" s="2" t="s">
        <v>26</v>
      </c>
      <c r="E27" s="3">
        <v>10</v>
      </c>
      <c r="F27" s="3"/>
      <c r="G27" s="4" t="str">
        <f>IF(AND(ISNUMBER(E27),ISNUMBER(F27)),F27-E27,"")</f>
        <v/>
      </c>
      <c r="H27" s="5" t="str">
        <f>IF(AND(ISNUMBER(G27),N(F27)&gt;0),G27/F27,"")</f>
        <v/>
      </c>
      <c r="I27" s="6">
        <v>1000</v>
      </c>
      <c r="J27" s="4">
        <f>IF(AND(ISNUMBER(E27),ISNUMBER(I27)),E27*I27,"")</f>
        <v>10000</v>
      </c>
      <c r="K27" s="6">
        <v>5000</v>
      </c>
      <c r="L27" s="7" t="s">
        <v>18</v>
      </c>
      <c r="M27" s="7" t="s">
        <v>19</v>
      </c>
      <c r="N27" s="2" t="s">
        <v>20</v>
      </c>
    </row>
    <row r="28" spans="1:14" x14ac:dyDescent="0.25">
      <c r="A28" s="2" t="s">
        <v>75</v>
      </c>
      <c r="B28" s="2" t="s">
        <v>76</v>
      </c>
      <c r="C28" s="2" t="s">
        <v>16</v>
      </c>
      <c r="D28" s="2" t="s">
        <v>23</v>
      </c>
      <c r="E28" s="3">
        <v>0.15</v>
      </c>
      <c r="F28" s="3"/>
      <c r="G28" s="4" t="str">
        <f>IF(AND(ISNUMBER(E28),ISNUMBER(F28)),F28-E28,"")</f>
        <v/>
      </c>
      <c r="H28" s="5" t="str">
        <f>IF(AND(ISNUMBER(G28),N(F28)&gt;0),G28/F28,"")</f>
        <v/>
      </c>
      <c r="I28" s="6">
        <v>500</v>
      </c>
      <c r="J28" s="4">
        <f>IF(AND(ISNUMBER(E28),ISNUMBER(I28)),E28*I28,"")</f>
        <v>75</v>
      </c>
      <c r="K28" s="6">
        <v>5000</v>
      </c>
      <c r="L28" s="7" t="s">
        <v>18</v>
      </c>
      <c r="M28" s="7" t="s">
        <v>19</v>
      </c>
      <c r="N28" s="2" t="s">
        <v>20</v>
      </c>
    </row>
    <row r="29" spans="1:14" x14ac:dyDescent="0.25">
      <c r="A29" s="2" t="s">
        <v>77</v>
      </c>
      <c r="B29" s="2" t="s">
        <v>78</v>
      </c>
      <c r="C29" s="2" t="s">
        <v>16</v>
      </c>
      <c r="D29" s="2" t="s">
        <v>23</v>
      </c>
      <c r="E29" s="3">
        <v>0.02</v>
      </c>
      <c r="F29" s="3"/>
      <c r="G29" s="4" t="str">
        <f>IF(AND(ISNUMBER(E29),ISNUMBER(F29)),F29-E29,"")</f>
        <v/>
      </c>
      <c r="H29" s="5" t="str">
        <f>IF(AND(ISNUMBER(G29),N(F29)&gt;0),G29/F29,"")</f>
        <v/>
      </c>
      <c r="I29" s="6">
        <v>500</v>
      </c>
      <c r="J29" s="4">
        <f>IF(AND(ISNUMBER(E29),ISNUMBER(I29)),E29*I29,"")</f>
        <v>10</v>
      </c>
      <c r="K29" s="6">
        <v>5000</v>
      </c>
      <c r="L29" s="7" t="s">
        <v>18</v>
      </c>
      <c r="M29" s="7" t="s">
        <v>19</v>
      </c>
      <c r="N29" s="2" t="s">
        <v>20</v>
      </c>
    </row>
    <row r="30" spans="1:14" x14ac:dyDescent="0.25">
      <c r="A30" s="2" t="s">
        <v>79</v>
      </c>
      <c r="B30" s="2" t="s">
        <v>80</v>
      </c>
      <c r="C30" s="2" t="s">
        <v>16</v>
      </c>
      <c r="D30" s="2" t="s">
        <v>26</v>
      </c>
      <c r="E30" s="3">
        <v>0.6</v>
      </c>
      <c r="F30" s="3"/>
      <c r="G30" s="4" t="str">
        <f>IF(AND(ISNUMBER(E30),ISNUMBER(F30)),F30-E30,"")</f>
        <v/>
      </c>
      <c r="H30" s="5" t="str">
        <f>IF(AND(ISNUMBER(G30),N(F30)&gt;0),G30/F30,"")</f>
        <v/>
      </c>
      <c r="I30" s="6">
        <v>150</v>
      </c>
      <c r="J30" s="4">
        <f>IF(AND(ISNUMBER(E30),ISNUMBER(I30)),E30*I30,"")</f>
        <v>90</v>
      </c>
      <c r="K30" s="6">
        <v>5000</v>
      </c>
      <c r="L30" s="7" t="s">
        <v>18</v>
      </c>
      <c r="M30" s="7" t="s">
        <v>19</v>
      </c>
      <c r="N30" s="2" t="s">
        <v>20</v>
      </c>
    </row>
    <row r="31" spans="1:14" x14ac:dyDescent="0.25">
      <c r="A31" s="2" t="s">
        <v>81</v>
      </c>
      <c r="B31" s="2" t="s">
        <v>82</v>
      </c>
      <c r="C31" s="2" t="s">
        <v>16</v>
      </c>
      <c r="D31" s="2" t="s">
        <v>43</v>
      </c>
      <c r="E31" s="3">
        <v>3.5</v>
      </c>
      <c r="F31" s="3"/>
      <c r="G31" s="4" t="str">
        <f>IF(AND(ISNUMBER(E31),ISNUMBER(F31)),F31-E31,"")</f>
        <v/>
      </c>
      <c r="H31" s="5" t="str">
        <f>IF(AND(ISNUMBER(G31),N(F31)&gt;0),G31/F31,"")</f>
        <v/>
      </c>
      <c r="I31" s="6">
        <v>500</v>
      </c>
      <c r="J31" s="4">
        <f>IF(AND(ISNUMBER(E31),ISNUMBER(I31)),E31*I31,"")</f>
        <v>1750</v>
      </c>
      <c r="K31" s="6">
        <v>5000</v>
      </c>
      <c r="L31" s="7" t="s">
        <v>18</v>
      </c>
      <c r="M31" s="7" t="s">
        <v>19</v>
      </c>
      <c r="N31" s="2" t="s">
        <v>20</v>
      </c>
    </row>
    <row r="32" spans="1:14" x14ac:dyDescent="0.25">
      <c r="A32" s="2" t="s">
        <v>83</v>
      </c>
      <c r="B32" s="2" t="s">
        <v>84</v>
      </c>
      <c r="C32" s="2" t="s">
        <v>16</v>
      </c>
      <c r="D32" s="2" t="s">
        <v>26</v>
      </c>
      <c r="E32" s="3">
        <v>8</v>
      </c>
      <c r="F32" s="3"/>
      <c r="G32" s="4" t="str">
        <f>IF(AND(ISNUMBER(E32),ISNUMBER(F32)),F32-E32,"")</f>
        <v/>
      </c>
      <c r="H32" s="5" t="str">
        <f>IF(AND(ISNUMBER(G32),N(F32)&gt;0),G32/F32,"")</f>
        <v/>
      </c>
      <c r="I32" s="6">
        <v>500</v>
      </c>
      <c r="J32" s="4">
        <f>IF(AND(ISNUMBER(E32),ISNUMBER(I32)),E32*I32,"")</f>
        <v>4000</v>
      </c>
      <c r="K32" s="6">
        <v>5000</v>
      </c>
      <c r="L32" s="7" t="s">
        <v>18</v>
      </c>
      <c r="M32" s="7" t="s">
        <v>19</v>
      </c>
      <c r="N32" s="2" t="s">
        <v>20</v>
      </c>
    </row>
    <row r="33" spans="1:14" x14ac:dyDescent="0.25">
      <c r="A33" s="2" t="s">
        <v>85</v>
      </c>
      <c r="B33" s="2" t="s">
        <v>86</v>
      </c>
      <c r="C33" s="2" t="s">
        <v>16</v>
      </c>
      <c r="D33" s="2" t="s">
        <v>17</v>
      </c>
      <c r="E33" s="3">
        <v>0.05</v>
      </c>
      <c r="F33" s="3"/>
      <c r="G33" s="4" t="str">
        <f>IF(AND(ISNUMBER(E33),ISNUMBER(F33)),F33-E33,"")</f>
        <v/>
      </c>
      <c r="H33" s="5" t="str">
        <f>IF(AND(ISNUMBER(G33),N(F33)&gt;0),G33/F33,"")</f>
        <v/>
      </c>
      <c r="I33" s="6">
        <v>500</v>
      </c>
      <c r="J33" s="4">
        <f>IF(AND(ISNUMBER(E33),ISNUMBER(I33)),E33*I33,"")</f>
        <v>25</v>
      </c>
      <c r="K33" s="6">
        <v>5000</v>
      </c>
      <c r="L33" s="7" t="s">
        <v>18</v>
      </c>
      <c r="M33" s="7" t="s">
        <v>19</v>
      </c>
      <c r="N33" s="2" t="s">
        <v>20</v>
      </c>
    </row>
    <row r="34" spans="1:14" x14ac:dyDescent="0.25">
      <c r="A34" s="2" t="s">
        <v>87</v>
      </c>
      <c r="B34" s="2" t="s">
        <v>88</v>
      </c>
      <c r="C34" s="2" t="s">
        <v>16</v>
      </c>
      <c r="D34" s="2" t="s">
        <v>17</v>
      </c>
      <c r="E34" s="3">
        <v>0.14</v>
      </c>
      <c r="F34" s="3"/>
      <c r="G34" s="4" t="str">
        <f>IF(AND(ISNUMBER(E34),ISNUMBER(F34)),F34-E34,"")</f>
        <v/>
      </c>
      <c r="H34" s="5" t="str">
        <f>IF(AND(ISNUMBER(G34),N(F34)&gt;0),G34/F34,"")</f>
        <v/>
      </c>
      <c r="I34" s="6">
        <v>500</v>
      </c>
      <c r="J34" s="4">
        <f>IF(AND(ISNUMBER(E34),ISNUMBER(I34)),E34*I34,"")</f>
        <v>70</v>
      </c>
      <c r="K34" s="6">
        <v>5000</v>
      </c>
      <c r="L34" s="7" t="s">
        <v>18</v>
      </c>
      <c r="M34" s="7" t="s">
        <v>19</v>
      </c>
      <c r="N34" s="2" t="s">
        <v>20</v>
      </c>
    </row>
    <row r="35" spans="1:14" x14ac:dyDescent="0.25">
      <c r="A35" s="2" t="s">
        <v>89</v>
      </c>
      <c r="B35" s="2" t="s">
        <v>90</v>
      </c>
      <c r="C35" s="2" t="s">
        <v>16</v>
      </c>
      <c r="D35" s="2" t="s">
        <v>43</v>
      </c>
      <c r="E35" s="3">
        <v>6.25</v>
      </c>
      <c r="F35" s="3"/>
      <c r="G35" s="4" t="str">
        <f>IF(AND(ISNUMBER(E35),ISNUMBER(F35)),F35-E35,"")</f>
        <v/>
      </c>
      <c r="H35" s="5" t="str">
        <f>IF(AND(ISNUMBER(G35),N(F35)&gt;0),G35/F35,"")</f>
        <v/>
      </c>
      <c r="I35" s="6">
        <v>300</v>
      </c>
      <c r="J35" s="4">
        <f>IF(AND(ISNUMBER(E35),ISNUMBER(I35)),E35*I35,"")</f>
        <v>1875</v>
      </c>
      <c r="K35" s="6">
        <v>5000</v>
      </c>
      <c r="L35" s="7" t="s">
        <v>18</v>
      </c>
      <c r="M35" s="7" t="s">
        <v>19</v>
      </c>
      <c r="N35" s="2" t="s">
        <v>20</v>
      </c>
    </row>
    <row r="36" spans="1:14" x14ac:dyDescent="0.25">
      <c r="A36" s="2" t="s">
        <v>91</v>
      </c>
      <c r="B36" s="2" t="s">
        <v>92</v>
      </c>
      <c r="C36" s="2" t="s">
        <v>16</v>
      </c>
      <c r="D36" s="2" t="s">
        <v>17</v>
      </c>
      <c r="E36" s="3">
        <v>0.1</v>
      </c>
      <c r="F36" s="3"/>
      <c r="G36" s="4" t="str">
        <f>IF(AND(ISNUMBER(E36),ISNUMBER(F36)),F36-E36,"")</f>
        <v/>
      </c>
      <c r="H36" s="5" t="str">
        <f>IF(AND(ISNUMBER(G36),N(F36)&gt;0),G36/F36,"")</f>
        <v/>
      </c>
      <c r="I36" s="6">
        <v>500</v>
      </c>
      <c r="J36" s="4">
        <f>IF(AND(ISNUMBER(E36),ISNUMBER(I36)),E36*I36,"")</f>
        <v>50</v>
      </c>
      <c r="K36" s="6">
        <v>5000</v>
      </c>
      <c r="L36" s="7" t="s">
        <v>18</v>
      </c>
      <c r="M36" s="7" t="s">
        <v>19</v>
      </c>
      <c r="N36" s="2" t="s">
        <v>20</v>
      </c>
    </row>
    <row r="37" spans="1:14" x14ac:dyDescent="0.25">
      <c r="A37" s="2" t="s">
        <v>93</v>
      </c>
      <c r="B37" s="2" t="s">
        <v>94</v>
      </c>
      <c r="C37" s="2" t="s">
        <v>16</v>
      </c>
      <c r="D37" s="2" t="s">
        <v>62</v>
      </c>
      <c r="E37" s="3">
        <v>0.6</v>
      </c>
      <c r="F37" s="3"/>
      <c r="G37" s="4" t="str">
        <f>IF(AND(ISNUMBER(E37),ISNUMBER(F37)),F37-E37,"")</f>
        <v/>
      </c>
      <c r="H37" s="5" t="str">
        <f>IF(AND(ISNUMBER(G37),N(F37)&gt;0),G37/F37,"")</f>
        <v/>
      </c>
      <c r="I37" s="6">
        <v>500</v>
      </c>
      <c r="J37" s="4">
        <f>IF(AND(ISNUMBER(E37),ISNUMBER(I37)),E37*I37,"")</f>
        <v>300</v>
      </c>
      <c r="K37" s="6">
        <v>5000</v>
      </c>
      <c r="L37" s="7" t="s">
        <v>18</v>
      </c>
      <c r="M37" s="7" t="s">
        <v>19</v>
      </c>
      <c r="N37" s="2" t="s">
        <v>20</v>
      </c>
    </row>
    <row r="38" spans="1:14" x14ac:dyDescent="0.25">
      <c r="A38" s="2" t="s">
        <v>95</v>
      </c>
      <c r="B38" s="2" t="s">
        <v>96</v>
      </c>
      <c r="C38" s="2" t="s">
        <v>16</v>
      </c>
      <c r="D38" s="2" t="s">
        <v>43</v>
      </c>
      <c r="E38" s="3">
        <v>0.01</v>
      </c>
      <c r="F38" s="3"/>
      <c r="G38" s="4" t="str">
        <f>IF(AND(ISNUMBER(E38),ISNUMBER(F38)),F38-E38,"")</f>
        <v/>
      </c>
      <c r="H38" s="5" t="str">
        <f>IF(AND(ISNUMBER(G38),N(F38)&gt;0),G38/F38,"")</f>
        <v/>
      </c>
      <c r="I38" s="6">
        <v>500</v>
      </c>
      <c r="J38" s="4">
        <f>IF(AND(ISNUMBER(E38),ISNUMBER(I38)),E38*I38,"")</f>
        <v>5</v>
      </c>
      <c r="K38" s="6">
        <v>5000</v>
      </c>
      <c r="L38" s="7" t="s">
        <v>18</v>
      </c>
      <c r="M38" s="7" t="s">
        <v>19</v>
      </c>
      <c r="N38" s="2" t="s">
        <v>20</v>
      </c>
    </row>
    <row r="39" spans="1:14" x14ac:dyDescent="0.25">
      <c r="A39" s="2" t="s">
        <v>97</v>
      </c>
      <c r="B39" s="2" t="s">
        <v>98</v>
      </c>
      <c r="C39" s="2" t="s">
        <v>16</v>
      </c>
      <c r="D39" s="2" t="s">
        <v>17</v>
      </c>
      <c r="E39" s="3">
        <v>0.34</v>
      </c>
      <c r="F39" s="3"/>
      <c r="G39" s="4" t="str">
        <f>IF(AND(ISNUMBER(E39),ISNUMBER(F39)),F39-E39,"")</f>
        <v/>
      </c>
      <c r="H39" s="5" t="str">
        <f>IF(AND(ISNUMBER(G39),N(F39)&gt;0),G39/F39,"")</f>
        <v/>
      </c>
      <c r="I39" s="6">
        <v>500</v>
      </c>
      <c r="J39" s="4">
        <f>IF(AND(ISNUMBER(E39),ISNUMBER(I39)),E39*I39,"")</f>
        <v>170</v>
      </c>
      <c r="K39" s="6">
        <v>5000</v>
      </c>
      <c r="L39" s="7" t="s">
        <v>18</v>
      </c>
      <c r="M39" s="7" t="s">
        <v>19</v>
      </c>
      <c r="N39" s="2" t="s">
        <v>20</v>
      </c>
    </row>
    <row r="40" spans="1:14" x14ac:dyDescent="0.25">
      <c r="A40" s="2" t="s">
        <v>99</v>
      </c>
      <c r="B40" s="2" t="s">
        <v>100</v>
      </c>
      <c r="C40" s="2" t="s">
        <v>16</v>
      </c>
      <c r="D40" s="2" t="s">
        <v>26</v>
      </c>
      <c r="E40" s="3">
        <v>4</v>
      </c>
      <c r="F40" s="3"/>
      <c r="G40" s="4" t="str">
        <f>IF(AND(ISNUMBER(E40),ISNUMBER(F40)),F40-E40,"")</f>
        <v/>
      </c>
      <c r="H40" s="5" t="str">
        <f>IF(AND(ISNUMBER(G40),N(F40)&gt;0),G40/F40,"")</f>
        <v/>
      </c>
      <c r="I40" s="6">
        <v>1000</v>
      </c>
      <c r="J40" s="4">
        <f>IF(AND(ISNUMBER(E40),ISNUMBER(I40)),E40*I40,"")</f>
        <v>4000</v>
      </c>
      <c r="K40" s="6">
        <v>5000</v>
      </c>
      <c r="L40" s="7" t="s">
        <v>18</v>
      </c>
      <c r="M40" s="7" t="s">
        <v>19</v>
      </c>
      <c r="N40" s="2" t="s">
        <v>20</v>
      </c>
    </row>
    <row r="41" spans="1:14" x14ac:dyDescent="0.25">
      <c r="A41" s="2" t="s">
        <v>101</v>
      </c>
      <c r="B41" s="2" t="s">
        <v>102</v>
      </c>
      <c r="C41" s="2" t="s">
        <v>16</v>
      </c>
      <c r="D41" s="2" t="s">
        <v>17</v>
      </c>
      <c r="E41" s="3">
        <v>0.4</v>
      </c>
      <c r="F41" s="3"/>
      <c r="G41" s="4" t="str">
        <f>IF(AND(ISNUMBER(E41),ISNUMBER(F41)),F41-E41,"")</f>
        <v/>
      </c>
      <c r="H41" s="5" t="str">
        <f>IF(AND(ISNUMBER(G41),N(F41)&gt;0),G41/F41,"")</f>
        <v/>
      </c>
      <c r="I41" s="6">
        <v>500</v>
      </c>
      <c r="J41" s="4">
        <f>IF(AND(ISNUMBER(E41),ISNUMBER(I41)),E41*I41,"")</f>
        <v>200</v>
      </c>
      <c r="K41" s="6">
        <v>5000</v>
      </c>
      <c r="L41" s="7" t="s">
        <v>18</v>
      </c>
      <c r="M41" s="7" t="s">
        <v>19</v>
      </c>
      <c r="N41" s="2" t="s">
        <v>20</v>
      </c>
    </row>
    <row r="42" spans="1:14" x14ac:dyDescent="0.25">
      <c r="A42" s="2" t="s">
        <v>103</v>
      </c>
      <c r="B42" s="2" t="s">
        <v>104</v>
      </c>
      <c r="C42" s="2" t="s">
        <v>16</v>
      </c>
      <c r="D42" s="2" t="s">
        <v>43</v>
      </c>
      <c r="E42" s="3">
        <v>0.5</v>
      </c>
      <c r="F42" s="3"/>
      <c r="G42" s="4" t="str">
        <f>IF(AND(ISNUMBER(E42),ISNUMBER(F42)),F42-E42,"")</f>
        <v/>
      </c>
      <c r="H42" s="5" t="str">
        <f>IF(AND(ISNUMBER(G42),N(F42)&gt;0),G42/F42,"")</f>
        <v/>
      </c>
      <c r="I42" s="6">
        <v>1000</v>
      </c>
      <c r="J42" s="4">
        <f>IF(AND(ISNUMBER(E42),ISNUMBER(I42)),E42*I42,"")</f>
        <v>500</v>
      </c>
      <c r="K42" s="6">
        <v>5000</v>
      </c>
      <c r="L42" s="7" t="s">
        <v>18</v>
      </c>
      <c r="M42" s="7" t="s">
        <v>19</v>
      </c>
      <c r="N42" s="2" t="s">
        <v>20</v>
      </c>
    </row>
    <row r="43" spans="1:14" x14ac:dyDescent="0.25">
      <c r="A43" s="2" t="s">
        <v>105</v>
      </c>
      <c r="B43" s="2" t="s">
        <v>106</v>
      </c>
      <c r="C43" s="2" t="s">
        <v>16</v>
      </c>
      <c r="D43" s="2" t="s">
        <v>43</v>
      </c>
      <c r="E43" s="3">
        <v>0.5</v>
      </c>
      <c r="F43" s="3"/>
      <c r="G43" s="4" t="str">
        <f>IF(AND(ISNUMBER(E43),ISNUMBER(F43)),F43-E43,"")</f>
        <v/>
      </c>
      <c r="H43" s="5" t="str">
        <f>IF(AND(ISNUMBER(G43),N(F43)&gt;0),G43/F43,"")</f>
        <v/>
      </c>
      <c r="I43" s="6">
        <v>1000</v>
      </c>
      <c r="J43" s="4">
        <f>IF(AND(ISNUMBER(E43),ISNUMBER(I43)),E43*I43,"")</f>
        <v>500</v>
      </c>
      <c r="K43" s="6">
        <v>5000</v>
      </c>
      <c r="L43" s="7" t="s">
        <v>18</v>
      </c>
      <c r="M43" s="7" t="s">
        <v>19</v>
      </c>
      <c r="N43" s="2" t="s">
        <v>20</v>
      </c>
    </row>
    <row r="44" spans="1:14" x14ac:dyDescent="0.25">
      <c r="A44" s="2" t="s">
        <v>107</v>
      </c>
      <c r="B44" s="2" t="s">
        <v>108</v>
      </c>
      <c r="C44" s="2" t="s">
        <v>16</v>
      </c>
      <c r="D44" s="2" t="s">
        <v>43</v>
      </c>
      <c r="E44" s="3">
        <v>0.5</v>
      </c>
      <c r="F44" s="3"/>
      <c r="G44" s="4" t="str">
        <f>IF(AND(ISNUMBER(E44),ISNUMBER(F44)),F44-E44,"")</f>
        <v/>
      </c>
      <c r="H44" s="5" t="str">
        <f>IF(AND(ISNUMBER(G44),N(F44)&gt;0),G44/F44,"")</f>
        <v/>
      </c>
      <c r="I44" s="6">
        <v>1000</v>
      </c>
      <c r="J44" s="4">
        <f>IF(AND(ISNUMBER(E44),ISNUMBER(I44)),E44*I44,"")</f>
        <v>500</v>
      </c>
      <c r="K44" s="6">
        <v>5000</v>
      </c>
      <c r="L44" s="7" t="s">
        <v>18</v>
      </c>
      <c r="M44" s="7" t="s">
        <v>19</v>
      </c>
      <c r="N44" s="2" t="s">
        <v>20</v>
      </c>
    </row>
    <row r="45" spans="1:14" x14ac:dyDescent="0.25">
      <c r="A45" s="2" t="s">
        <v>109</v>
      </c>
      <c r="B45" s="2" t="s">
        <v>110</v>
      </c>
      <c r="C45" s="2" t="s">
        <v>16</v>
      </c>
      <c r="D45" s="2" t="s">
        <v>43</v>
      </c>
      <c r="E45" s="3">
        <v>1.5</v>
      </c>
      <c r="F45" s="3"/>
      <c r="G45" s="4" t="str">
        <f>IF(AND(ISNUMBER(E45),ISNUMBER(F45)),F45-E45,"")</f>
        <v/>
      </c>
      <c r="H45" s="5" t="str">
        <f>IF(AND(ISNUMBER(G45),N(F45)&gt;0),G45/F45,"")</f>
        <v/>
      </c>
      <c r="I45" s="6">
        <v>1000</v>
      </c>
      <c r="J45" s="4">
        <f>IF(AND(ISNUMBER(E45),ISNUMBER(I45)),E45*I45,"")</f>
        <v>1500</v>
      </c>
      <c r="K45" s="6">
        <v>5000</v>
      </c>
      <c r="L45" s="7" t="s">
        <v>18</v>
      </c>
      <c r="M45" s="7" t="s">
        <v>19</v>
      </c>
      <c r="N45" s="2" t="s">
        <v>20</v>
      </c>
    </row>
    <row r="46" spans="1:14" x14ac:dyDescent="0.25">
      <c r="A46" s="2" t="s">
        <v>111</v>
      </c>
      <c r="B46" s="2" t="s">
        <v>112</v>
      </c>
      <c r="C46" s="2" t="s">
        <v>16</v>
      </c>
      <c r="D46" s="2" t="s">
        <v>43</v>
      </c>
      <c r="E46" s="3">
        <v>3</v>
      </c>
      <c r="F46" s="3"/>
      <c r="G46" s="4" t="str">
        <f>IF(AND(ISNUMBER(E46),ISNUMBER(F46)),F46-E46,"")</f>
        <v/>
      </c>
      <c r="H46" s="5" t="str">
        <f>IF(AND(ISNUMBER(G46),N(F46)&gt;0),G46/F46,"")</f>
        <v/>
      </c>
      <c r="I46" s="6">
        <v>1000</v>
      </c>
      <c r="J46" s="4">
        <f>IF(AND(ISNUMBER(E46),ISNUMBER(I46)),E46*I46,"")</f>
        <v>3000</v>
      </c>
      <c r="K46" s="6">
        <v>5000</v>
      </c>
      <c r="L46" s="7" t="s">
        <v>18</v>
      </c>
      <c r="M46" s="7" t="s">
        <v>19</v>
      </c>
      <c r="N46" s="2" t="s">
        <v>20</v>
      </c>
    </row>
    <row r="47" spans="1:14" x14ac:dyDescent="0.25">
      <c r="A47" s="2" t="s">
        <v>113</v>
      </c>
      <c r="B47" s="2" t="s">
        <v>114</v>
      </c>
      <c r="C47" s="2" t="s">
        <v>16</v>
      </c>
      <c r="D47" s="2" t="s">
        <v>43</v>
      </c>
      <c r="E47" s="3">
        <v>0.5</v>
      </c>
      <c r="F47" s="3"/>
      <c r="G47" s="4" t="str">
        <f>IF(AND(ISNUMBER(E47),ISNUMBER(F47)),F47-E47,"")</f>
        <v/>
      </c>
      <c r="H47" s="5" t="str">
        <f>IF(AND(ISNUMBER(G47),N(F47)&gt;0),G47/F47,"")</f>
        <v/>
      </c>
      <c r="I47" s="6">
        <v>1000</v>
      </c>
      <c r="J47" s="4">
        <f>IF(AND(ISNUMBER(E47),ISNUMBER(I47)),E47*I47,"")</f>
        <v>500</v>
      </c>
      <c r="K47" s="6">
        <v>5000</v>
      </c>
      <c r="L47" s="7" t="s">
        <v>18</v>
      </c>
      <c r="M47" s="7" t="s">
        <v>19</v>
      </c>
      <c r="N47" s="2" t="s">
        <v>20</v>
      </c>
    </row>
    <row r="48" spans="1:14" x14ac:dyDescent="0.25">
      <c r="A48" s="2" t="s">
        <v>115</v>
      </c>
      <c r="B48" s="2" t="s">
        <v>116</v>
      </c>
      <c r="C48" s="2" t="s">
        <v>16</v>
      </c>
      <c r="D48" s="2" t="s">
        <v>43</v>
      </c>
      <c r="E48" s="3">
        <v>0.5</v>
      </c>
      <c r="F48" s="3"/>
      <c r="G48" s="4" t="str">
        <f>IF(AND(ISNUMBER(E48),ISNUMBER(F48)),F48-E48,"")</f>
        <v/>
      </c>
      <c r="H48" s="5" t="str">
        <f>IF(AND(ISNUMBER(G48),N(F48)&gt;0),G48/F48,"")</f>
        <v/>
      </c>
      <c r="I48" s="6">
        <v>1000</v>
      </c>
      <c r="J48" s="4">
        <f>IF(AND(ISNUMBER(E48),ISNUMBER(I48)),E48*I48,"")</f>
        <v>500</v>
      </c>
      <c r="K48" s="6">
        <v>5000</v>
      </c>
      <c r="L48" s="7" t="s">
        <v>18</v>
      </c>
      <c r="M48" s="7" t="s">
        <v>19</v>
      </c>
      <c r="N48" s="2" t="s">
        <v>20</v>
      </c>
    </row>
    <row r="49" spans="1:14" x14ac:dyDescent="0.25">
      <c r="A49" s="2" t="s">
        <v>117</v>
      </c>
      <c r="B49" s="2" t="s">
        <v>118</v>
      </c>
      <c r="C49" s="2" t="s">
        <v>16</v>
      </c>
      <c r="D49" s="2" t="s">
        <v>43</v>
      </c>
      <c r="E49" s="3">
        <v>0.5</v>
      </c>
      <c r="F49" s="3"/>
      <c r="G49" s="4" t="str">
        <f>IF(AND(ISNUMBER(E49),ISNUMBER(F49)),F49-E49,"")</f>
        <v/>
      </c>
      <c r="H49" s="5" t="str">
        <f>IF(AND(ISNUMBER(G49),N(F49)&gt;0),G49/F49,"")</f>
        <v/>
      </c>
      <c r="I49" s="6">
        <v>1000</v>
      </c>
      <c r="J49" s="4">
        <f>IF(AND(ISNUMBER(E49),ISNUMBER(I49)),E49*I49,"")</f>
        <v>500</v>
      </c>
      <c r="K49" s="6">
        <v>5000</v>
      </c>
      <c r="L49" s="7" t="s">
        <v>18</v>
      </c>
      <c r="M49" s="7" t="s">
        <v>19</v>
      </c>
      <c r="N49" s="2" t="s">
        <v>20</v>
      </c>
    </row>
    <row r="50" spans="1:14" x14ac:dyDescent="0.25">
      <c r="A50" s="2" t="s">
        <v>119</v>
      </c>
      <c r="B50" s="2" t="s">
        <v>120</v>
      </c>
      <c r="C50" s="2" t="s">
        <v>16</v>
      </c>
      <c r="D50" s="2" t="s">
        <v>26</v>
      </c>
      <c r="E50" s="3">
        <v>6</v>
      </c>
      <c r="F50" s="3"/>
      <c r="G50" s="4" t="str">
        <f>IF(AND(ISNUMBER(E50),ISNUMBER(F50)),F50-E50,"")</f>
        <v/>
      </c>
      <c r="H50" s="5" t="str">
        <f>IF(AND(ISNUMBER(G50),N(F50)&gt;0),G50/F50,"")</f>
        <v/>
      </c>
      <c r="I50" s="6">
        <v>500</v>
      </c>
      <c r="J50" s="4">
        <f>IF(AND(ISNUMBER(E50),ISNUMBER(I50)),E50*I50,"")</f>
        <v>3000</v>
      </c>
      <c r="K50" s="6">
        <v>5000</v>
      </c>
      <c r="L50" s="7" t="s">
        <v>18</v>
      </c>
      <c r="M50" s="7" t="s">
        <v>19</v>
      </c>
      <c r="N50" s="2" t="s">
        <v>20</v>
      </c>
    </row>
    <row r="51" spans="1:14" x14ac:dyDescent="0.25">
      <c r="A51" s="2" t="s">
        <v>121</v>
      </c>
      <c r="B51" s="2" t="s">
        <v>122</v>
      </c>
      <c r="C51" s="2" t="s">
        <v>16</v>
      </c>
      <c r="D51" s="2" t="s">
        <v>123</v>
      </c>
      <c r="E51" s="3">
        <v>0.05</v>
      </c>
      <c r="F51" s="3"/>
      <c r="G51" s="4" t="str">
        <f>IF(AND(ISNUMBER(E51),ISNUMBER(F51)),F51-E51,"")</f>
        <v/>
      </c>
      <c r="H51" s="5" t="str">
        <f>IF(AND(ISNUMBER(G51),N(F51)&gt;0),G51/F51,"")</f>
        <v/>
      </c>
      <c r="I51" s="6">
        <v>1500</v>
      </c>
      <c r="J51" s="4">
        <f>IF(AND(ISNUMBER(E51),ISNUMBER(I51)),E51*I51,"")</f>
        <v>75</v>
      </c>
      <c r="K51" s="6">
        <v>5000</v>
      </c>
      <c r="L51" s="7" t="s">
        <v>18</v>
      </c>
      <c r="M51" s="7" t="s">
        <v>19</v>
      </c>
      <c r="N51" s="2" t="s">
        <v>20</v>
      </c>
    </row>
    <row r="52" spans="1:14" x14ac:dyDescent="0.25">
      <c r="A52" s="2" t="s">
        <v>124</v>
      </c>
      <c r="B52" s="2" t="s">
        <v>125</v>
      </c>
      <c r="C52" s="2" t="s">
        <v>16</v>
      </c>
      <c r="D52" s="2" t="s">
        <v>23</v>
      </c>
      <c r="E52" s="3">
        <v>0.12</v>
      </c>
      <c r="F52" s="3"/>
      <c r="G52" s="4" t="str">
        <f>IF(AND(ISNUMBER(E52),ISNUMBER(F52)),F52-E52,"")</f>
        <v/>
      </c>
      <c r="H52" s="5" t="str">
        <f>IF(AND(ISNUMBER(G52),N(F52)&gt;0),G52/F52,"")</f>
        <v/>
      </c>
      <c r="I52" s="6">
        <v>500</v>
      </c>
      <c r="J52" s="4">
        <f>IF(AND(ISNUMBER(E52),ISNUMBER(I52)),E52*I52,"")</f>
        <v>60</v>
      </c>
      <c r="K52" s="6">
        <v>5000</v>
      </c>
      <c r="L52" s="7" t="s">
        <v>18</v>
      </c>
      <c r="M52" s="7" t="s">
        <v>19</v>
      </c>
      <c r="N52" s="2" t="s">
        <v>20</v>
      </c>
    </row>
    <row r="53" spans="1:14" x14ac:dyDescent="0.25">
      <c r="A53" s="2" t="s">
        <v>126</v>
      </c>
      <c r="B53" s="2" t="s">
        <v>127</v>
      </c>
      <c r="C53" s="2" t="s">
        <v>16</v>
      </c>
      <c r="D53" s="2" t="s">
        <v>43</v>
      </c>
      <c r="E53" s="3">
        <v>0.5</v>
      </c>
      <c r="F53" s="3"/>
      <c r="G53" s="4" t="str">
        <f>IF(AND(ISNUMBER(E53),ISNUMBER(F53)),F53-E53,"")</f>
        <v/>
      </c>
      <c r="H53" s="5" t="str">
        <f>IF(AND(ISNUMBER(G53),N(F53)&gt;0),G53/F53,"")</f>
        <v/>
      </c>
      <c r="I53" s="6">
        <v>500</v>
      </c>
      <c r="J53" s="4">
        <f>IF(AND(ISNUMBER(E53),ISNUMBER(I53)),E53*I53,"")</f>
        <v>250</v>
      </c>
      <c r="K53" s="6">
        <v>5000</v>
      </c>
      <c r="L53" s="7" t="s">
        <v>18</v>
      </c>
      <c r="M53" s="7" t="s">
        <v>19</v>
      </c>
      <c r="N53" s="2" t="s">
        <v>20</v>
      </c>
    </row>
    <row r="54" spans="1:14" x14ac:dyDescent="0.25">
      <c r="A54" s="2" t="s">
        <v>128</v>
      </c>
      <c r="B54" s="2" t="s">
        <v>129</v>
      </c>
      <c r="C54" s="2" t="s">
        <v>16</v>
      </c>
      <c r="D54" s="2" t="s">
        <v>26</v>
      </c>
      <c r="E54" s="3">
        <v>8</v>
      </c>
      <c r="F54" s="3"/>
      <c r="G54" s="4" t="str">
        <f>IF(AND(ISNUMBER(E54),ISNUMBER(F54)),F54-E54,"")</f>
        <v/>
      </c>
      <c r="H54" s="5" t="str">
        <f>IF(AND(ISNUMBER(G54),N(F54)&gt;0),G54/F54,"")</f>
        <v/>
      </c>
      <c r="I54" s="6">
        <v>1000</v>
      </c>
      <c r="J54" s="4">
        <f>IF(AND(ISNUMBER(E54),ISNUMBER(I54)),E54*I54,"")</f>
        <v>8000</v>
      </c>
      <c r="K54" s="6">
        <v>5000</v>
      </c>
      <c r="L54" s="7" t="s">
        <v>18</v>
      </c>
      <c r="M54" s="7" t="s">
        <v>19</v>
      </c>
      <c r="N54" s="2" t="s">
        <v>20</v>
      </c>
    </row>
    <row r="55" spans="1:14" x14ac:dyDescent="0.25">
      <c r="A55" s="2" t="s">
        <v>130</v>
      </c>
      <c r="B55" s="2" t="s">
        <v>131</v>
      </c>
      <c r="C55" s="2" t="s">
        <v>16</v>
      </c>
      <c r="D55" s="2" t="s">
        <v>26</v>
      </c>
      <c r="E55" s="3">
        <v>40</v>
      </c>
      <c r="F55" s="3"/>
      <c r="G55" s="4" t="str">
        <f>IF(AND(ISNUMBER(E55),ISNUMBER(F55)),F55-E55,"")</f>
        <v/>
      </c>
      <c r="H55" s="5" t="str">
        <f>IF(AND(ISNUMBER(G55),N(F55)&gt;0),G55/F55,"")</f>
        <v/>
      </c>
      <c r="I55" s="6">
        <v>150</v>
      </c>
      <c r="J55" s="4">
        <f>IF(AND(ISNUMBER(E55),ISNUMBER(I55)),E55*I55,"")</f>
        <v>6000</v>
      </c>
      <c r="K55" s="6">
        <v>5000</v>
      </c>
      <c r="L55" s="7" t="s">
        <v>18</v>
      </c>
      <c r="M55" s="7" t="s">
        <v>19</v>
      </c>
      <c r="N55" s="2" t="s">
        <v>20</v>
      </c>
    </row>
    <row r="56" spans="1:14" x14ac:dyDescent="0.25">
      <c r="A56" s="2" t="s">
        <v>132</v>
      </c>
      <c r="B56" s="2" t="s">
        <v>133</v>
      </c>
      <c r="C56" s="2" t="s">
        <v>16</v>
      </c>
      <c r="D56" s="2" t="s">
        <v>26</v>
      </c>
      <c r="E56" s="3">
        <v>450</v>
      </c>
      <c r="F56" s="3"/>
      <c r="G56" s="4" t="str">
        <f>IF(AND(ISNUMBER(E56),ISNUMBER(F56)),F56-E56,"")</f>
        <v/>
      </c>
      <c r="H56" s="5" t="str">
        <f>IF(AND(ISNUMBER(G56),N(F56)&gt;0),G56/F56,"")</f>
        <v/>
      </c>
      <c r="I56" s="6">
        <v>150</v>
      </c>
      <c r="J56" s="4">
        <f>IF(AND(ISNUMBER(E56),ISNUMBER(I56)),E56*I56,"")</f>
        <v>67500</v>
      </c>
      <c r="K56" s="6">
        <v>5000</v>
      </c>
      <c r="L56" s="7" t="s">
        <v>18</v>
      </c>
      <c r="M56" s="7" t="s">
        <v>19</v>
      </c>
      <c r="N56" s="2" t="s">
        <v>20</v>
      </c>
    </row>
    <row r="57" spans="1:14" x14ac:dyDescent="0.25">
      <c r="A57" s="2" t="s">
        <v>134</v>
      </c>
      <c r="B57" s="2" t="s">
        <v>135</v>
      </c>
      <c r="C57" s="2" t="s">
        <v>16</v>
      </c>
      <c r="D57" s="2" t="s">
        <v>23</v>
      </c>
      <c r="E57" s="3">
        <v>0.1</v>
      </c>
      <c r="F57" s="3"/>
      <c r="G57" s="4" t="str">
        <f>IF(AND(ISNUMBER(E57),ISNUMBER(F57)),F57-E57,"")</f>
        <v/>
      </c>
      <c r="H57" s="5" t="str">
        <f>IF(AND(ISNUMBER(G57),N(F57)&gt;0),G57/F57,"")</f>
        <v/>
      </c>
      <c r="I57" s="6">
        <v>500</v>
      </c>
      <c r="J57" s="4">
        <f>IF(AND(ISNUMBER(E57),ISNUMBER(I57)),E57*I57,"")</f>
        <v>50</v>
      </c>
      <c r="K57" s="6">
        <v>5000</v>
      </c>
      <c r="L57" s="7" t="s">
        <v>18</v>
      </c>
      <c r="M57" s="7" t="s">
        <v>19</v>
      </c>
      <c r="N57" s="2" t="s">
        <v>20</v>
      </c>
    </row>
    <row r="58" spans="1:14" x14ac:dyDescent="0.25">
      <c r="A58" s="2" t="s">
        <v>136</v>
      </c>
      <c r="B58" s="2" t="s">
        <v>137</v>
      </c>
      <c r="C58" s="2" t="s">
        <v>16</v>
      </c>
      <c r="D58" s="2" t="s">
        <v>17</v>
      </c>
      <c r="E58" s="3">
        <v>0.1</v>
      </c>
      <c r="F58" s="3"/>
      <c r="G58" s="4" t="str">
        <f>IF(AND(ISNUMBER(E58),ISNUMBER(F58)),F58-E58,"")</f>
        <v/>
      </c>
      <c r="H58" s="5" t="str">
        <f>IF(AND(ISNUMBER(G58),N(F58)&gt;0),G58/F58,"")</f>
        <v/>
      </c>
      <c r="I58" s="6">
        <v>500</v>
      </c>
      <c r="J58" s="4">
        <f>IF(AND(ISNUMBER(E58),ISNUMBER(I58)),E58*I58,"")</f>
        <v>50</v>
      </c>
      <c r="K58" s="6">
        <v>5000</v>
      </c>
      <c r="L58" s="7" t="s">
        <v>18</v>
      </c>
      <c r="M58" s="7" t="s">
        <v>19</v>
      </c>
      <c r="N58" s="2" t="s">
        <v>20</v>
      </c>
    </row>
    <row r="59" spans="1:14" x14ac:dyDescent="0.25">
      <c r="A59" s="2" t="s">
        <v>138</v>
      </c>
      <c r="B59" s="2" t="s">
        <v>139</v>
      </c>
      <c r="C59" s="2" t="s">
        <v>16</v>
      </c>
      <c r="D59" s="2" t="s">
        <v>140</v>
      </c>
      <c r="E59" s="3">
        <v>0.01</v>
      </c>
      <c r="F59" s="3"/>
      <c r="G59" s="4" t="str">
        <f>IF(AND(ISNUMBER(E59),ISNUMBER(F59)),F59-E59,"")</f>
        <v/>
      </c>
      <c r="H59" s="5" t="str">
        <f>IF(AND(ISNUMBER(G59),N(F59)&gt;0),G59/F59,"")</f>
        <v/>
      </c>
      <c r="I59" s="6">
        <v>500</v>
      </c>
      <c r="J59" s="4">
        <f>IF(AND(ISNUMBER(E59),ISNUMBER(I59)),E59*I59,"")</f>
        <v>5</v>
      </c>
      <c r="K59" s="6">
        <v>5000</v>
      </c>
      <c r="L59" s="7" t="s">
        <v>18</v>
      </c>
      <c r="M59" s="7" t="s">
        <v>19</v>
      </c>
      <c r="N59" s="2" t="s">
        <v>20</v>
      </c>
    </row>
    <row r="60" spans="1:14" x14ac:dyDescent="0.25">
      <c r="A60" s="2" t="s">
        <v>141</v>
      </c>
      <c r="B60" s="2" t="s">
        <v>142</v>
      </c>
      <c r="C60" s="2" t="s">
        <v>16</v>
      </c>
      <c r="D60" s="2" t="s">
        <v>23</v>
      </c>
      <c r="E60" s="3">
        <v>0.01</v>
      </c>
      <c r="F60" s="3"/>
      <c r="G60" s="4" t="str">
        <f>IF(AND(ISNUMBER(E60),ISNUMBER(F60)),F60-E60,"")</f>
        <v/>
      </c>
      <c r="H60" s="5" t="str">
        <f>IF(AND(ISNUMBER(G60),N(F60)&gt;0),G60/F60,"")</f>
        <v/>
      </c>
      <c r="I60" s="6">
        <v>500</v>
      </c>
      <c r="J60" s="4">
        <f>IF(AND(ISNUMBER(E60),ISNUMBER(I60)),E60*I60,"")</f>
        <v>5</v>
      </c>
      <c r="K60" s="6">
        <v>5000</v>
      </c>
      <c r="L60" s="7" t="s">
        <v>18</v>
      </c>
      <c r="M60" s="7" t="s">
        <v>19</v>
      </c>
      <c r="N60" s="2" t="s">
        <v>20</v>
      </c>
    </row>
    <row r="61" spans="1:14" x14ac:dyDescent="0.25">
      <c r="A61" s="2" t="s">
        <v>143</v>
      </c>
      <c r="B61" s="2" t="s">
        <v>144</v>
      </c>
      <c r="C61" s="2" t="s">
        <v>145</v>
      </c>
      <c r="D61" s="2" t="s">
        <v>146</v>
      </c>
      <c r="E61" s="3">
        <v>0.28</v>
      </c>
      <c r="F61" s="3">
        <v>2.12</v>
      </c>
      <c r="G61" s="4">
        <f>IF(AND(ISNUMBER(E61),ISNUMBER(F61)),F61-E61,"")</f>
        <v>1.84</v>
      </c>
      <c r="H61" s="5">
        <f>IF(AND(ISNUMBER(G61),N(F61)&gt;0),G61/F61,"")</f>
        <v>0.8679245283018868</v>
      </c>
      <c r="I61" s="6">
        <v>250</v>
      </c>
      <c r="J61" s="4">
        <f>IF(AND(ISNUMBER(E61),ISNUMBER(I61)),E61*I61,"")</f>
        <v>70</v>
      </c>
      <c r="K61" s="6">
        <v>25000</v>
      </c>
      <c r="L61" s="7" t="s">
        <v>19</v>
      </c>
      <c r="M61" s="7" t="s">
        <v>19</v>
      </c>
      <c r="N61" s="2" t="s">
        <v>147</v>
      </c>
    </row>
    <row r="62" spans="1:14" x14ac:dyDescent="0.25">
      <c r="A62" s="2" t="s">
        <v>148</v>
      </c>
      <c r="B62" s="2" t="s">
        <v>149</v>
      </c>
      <c r="C62" s="2" t="s">
        <v>145</v>
      </c>
      <c r="D62" s="2" t="s">
        <v>146</v>
      </c>
      <c r="E62" s="3">
        <v>0.29</v>
      </c>
      <c r="F62" s="3">
        <v>2.56</v>
      </c>
      <c r="G62" s="4">
        <f>IF(AND(ISNUMBER(E62),ISNUMBER(F62)),F62-E62,"")</f>
        <v>2.27</v>
      </c>
      <c r="H62" s="5">
        <f>IF(AND(ISNUMBER(G62),N(F62)&gt;0),G62/F62,"")</f>
        <v>0.88671875</v>
      </c>
      <c r="I62" s="6">
        <v>500</v>
      </c>
      <c r="J62" s="4">
        <f>IF(AND(ISNUMBER(E62),ISNUMBER(I62)),E62*I62,"")</f>
        <v>145</v>
      </c>
      <c r="K62" s="6">
        <v>25000</v>
      </c>
      <c r="L62" s="7" t="s">
        <v>19</v>
      </c>
      <c r="M62" s="7" t="s">
        <v>19</v>
      </c>
      <c r="N62" s="2" t="s">
        <v>147</v>
      </c>
    </row>
    <row r="63" spans="1:14" x14ac:dyDescent="0.25">
      <c r="A63" s="2" t="s">
        <v>150</v>
      </c>
      <c r="B63" s="2" t="s">
        <v>151</v>
      </c>
      <c r="C63" s="2" t="s">
        <v>152</v>
      </c>
      <c r="D63" s="2" t="s">
        <v>153</v>
      </c>
      <c r="E63" s="3">
        <v>350</v>
      </c>
      <c r="F63" s="3">
        <v>799</v>
      </c>
      <c r="G63" s="4">
        <f>IF(AND(ISNUMBER(E63),ISNUMBER(F63)),F63-E63,"")</f>
        <v>449</v>
      </c>
      <c r="H63" s="5">
        <f>IF(AND(ISNUMBER(G63),N(F63)&gt;0),G63/F63,"")</f>
        <v>0.5619524405506884</v>
      </c>
      <c r="I63" s="6">
        <v>300</v>
      </c>
      <c r="J63" s="4">
        <f>IF(AND(ISNUMBER(E63),ISNUMBER(I63)),E63*I63,"")</f>
        <v>105000</v>
      </c>
      <c r="K63" s="6">
        <v>7500</v>
      </c>
      <c r="L63" s="7" t="s">
        <v>19</v>
      </c>
      <c r="M63" s="7" t="s">
        <v>18</v>
      </c>
      <c r="N63" s="2" t="s">
        <v>154</v>
      </c>
    </row>
    <row r="64" spans="1:14" x14ac:dyDescent="0.25">
      <c r="A64" s="2" t="s">
        <v>155</v>
      </c>
      <c r="B64" s="2" t="s">
        <v>156</v>
      </c>
      <c r="C64" s="2" t="s">
        <v>152</v>
      </c>
      <c r="D64" s="2" t="s">
        <v>153</v>
      </c>
      <c r="E64" s="3">
        <v>150</v>
      </c>
      <c r="F64" s="3">
        <v>324</v>
      </c>
      <c r="G64" s="4">
        <f>IF(AND(ISNUMBER(E64),ISNUMBER(F64)),F64-E64,"")</f>
        <v>174</v>
      </c>
      <c r="H64" s="5">
        <f>IF(AND(ISNUMBER(G64),N(F64)&gt;0),G64/F64,"")</f>
        <v>0.5370370370370371</v>
      </c>
      <c r="I64" s="6">
        <v>300</v>
      </c>
      <c r="J64" s="4">
        <f>IF(AND(ISNUMBER(E64),ISNUMBER(I64)),E64*I64,"")</f>
        <v>45000</v>
      </c>
      <c r="K64" s="6">
        <v>7500</v>
      </c>
      <c r="L64" s="7" t="s">
        <v>19</v>
      </c>
      <c r="M64" s="7" t="s">
        <v>18</v>
      </c>
      <c r="N64" s="2" t="s">
        <v>157</v>
      </c>
    </row>
    <row r="65" spans="1:14" x14ac:dyDescent="0.25">
      <c r="A65" s="2" t="s">
        <v>158</v>
      </c>
      <c r="B65" s="2" t="s">
        <v>159</v>
      </c>
      <c r="C65" s="2" t="s">
        <v>152</v>
      </c>
      <c r="D65" s="2" t="s">
        <v>160</v>
      </c>
      <c r="E65" s="3">
        <v>0.32</v>
      </c>
      <c r="F65" s="3">
        <v>2.89</v>
      </c>
      <c r="G65" s="4">
        <f>IF(AND(ISNUMBER(E65),ISNUMBER(F65)),F65-E65,"")</f>
        <v>2.5700000000000003</v>
      </c>
      <c r="H65" s="5">
        <f>IF(AND(ISNUMBER(G65),N(F65)&gt;0),G65/F65,"")</f>
        <v>0.8892733564013842</v>
      </c>
      <c r="I65" s="6">
        <v>500</v>
      </c>
      <c r="J65" s="4">
        <f>IF(AND(ISNUMBER(E65),ISNUMBER(I65)),E65*I65,"")</f>
        <v>160</v>
      </c>
      <c r="K65" s="6">
        <v>25000</v>
      </c>
      <c r="L65" s="7" t="s">
        <v>19</v>
      </c>
      <c r="M65" s="7" t="s">
        <v>18</v>
      </c>
      <c r="N65" s="2" t="s">
        <v>161</v>
      </c>
    </row>
    <row r="66" spans="1:14" x14ac:dyDescent="0.25">
      <c r="A66" s="2" t="s">
        <v>162</v>
      </c>
      <c r="B66" s="2" t="s">
        <v>163</v>
      </c>
      <c r="C66" s="2" t="s">
        <v>152</v>
      </c>
      <c r="D66" s="2" t="s">
        <v>160</v>
      </c>
      <c r="E66" s="3">
        <v>0.26</v>
      </c>
      <c r="F66" s="3">
        <v>2.35</v>
      </c>
      <c r="G66" s="4">
        <f>IF(AND(ISNUMBER(E66),ISNUMBER(F66)),F66-E66,"")</f>
        <v>2.09</v>
      </c>
      <c r="H66" s="5">
        <f>IF(AND(ISNUMBER(G66),N(F66)&gt;0),G66/F66,"")</f>
        <v>0.8893617021276595</v>
      </c>
      <c r="I66" s="6">
        <v>500</v>
      </c>
      <c r="J66" s="4">
        <f>IF(AND(ISNUMBER(E66),ISNUMBER(I66)),E66*I66,"")</f>
        <v>130</v>
      </c>
      <c r="K66" s="6">
        <v>25000</v>
      </c>
      <c r="L66" s="7" t="s">
        <v>19</v>
      </c>
      <c r="M66" s="7" t="s">
        <v>18</v>
      </c>
      <c r="N66" s="2" t="s">
        <v>161</v>
      </c>
    </row>
    <row r="67" spans="1:14" x14ac:dyDescent="0.25">
      <c r="A67" s="2" t="s">
        <v>164</v>
      </c>
      <c r="B67" s="2" t="s">
        <v>165</v>
      </c>
      <c r="C67" s="2" t="s">
        <v>152</v>
      </c>
      <c r="D67" s="2" t="s">
        <v>160</v>
      </c>
      <c r="E67" s="3">
        <v>0.28</v>
      </c>
      <c r="F67" s="3">
        <v>2.24</v>
      </c>
      <c r="G67" s="4">
        <f>IF(AND(ISNUMBER(E67),ISNUMBER(F67)),F67-E67,"")</f>
        <v>1.9600000000000002</v>
      </c>
      <c r="H67" s="5">
        <f>IF(AND(ISNUMBER(G67),N(F67)&gt;0),G67/F67,"")</f>
        <v>0.875</v>
      </c>
      <c r="I67" s="6">
        <v>500</v>
      </c>
      <c r="J67" s="4">
        <f>IF(AND(ISNUMBER(E67),ISNUMBER(I67)),E67*I67,"")</f>
        <v>140</v>
      </c>
      <c r="K67" s="6">
        <v>25000</v>
      </c>
      <c r="L67" s="7" t="s">
        <v>19</v>
      </c>
      <c r="M67" s="7" t="s">
        <v>18</v>
      </c>
      <c r="N67" s="2" t="s">
        <v>147</v>
      </c>
    </row>
    <row r="68" spans="1:14" x14ac:dyDescent="0.25">
      <c r="A68" s="2" t="s">
        <v>166</v>
      </c>
      <c r="B68" s="2" t="s">
        <v>167</v>
      </c>
      <c r="C68" s="2" t="s">
        <v>152</v>
      </c>
      <c r="D68" s="2" t="s">
        <v>160</v>
      </c>
      <c r="E68" s="3">
        <v>0.29</v>
      </c>
      <c r="F68" s="3">
        <v>2.62</v>
      </c>
      <c r="G68" s="4">
        <f>IF(AND(ISNUMBER(E68),ISNUMBER(F68)),F68-E68,"")</f>
        <v>2.33</v>
      </c>
      <c r="H68" s="5">
        <f>IF(AND(ISNUMBER(G68),N(F68)&gt;0),G68/F68,"")</f>
        <v>0.8893129770992366</v>
      </c>
      <c r="I68" s="6">
        <v>500</v>
      </c>
      <c r="J68" s="4">
        <f>IF(AND(ISNUMBER(E68),ISNUMBER(I68)),E68*I68,"")</f>
        <v>145</v>
      </c>
      <c r="K68" s="6">
        <v>25000</v>
      </c>
      <c r="L68" s="7" t="s">
        <v>19</v>
      </c>
      <c r="M68" s="7" t="s">
        <v>18</v>
      </c>
      <c r="N68" s="2" t="s">
        <v>147</v>
      </c>
    </row>
    <row r="69" spans="1:14" x14ac:dyDescent="0.25">
      <c r="A69" s="2" t="s">
        <v>168</v>
      </c>
      <c r="B69" s="2" t="s">
        <v>169</v>
      </c>
      <c r="C69" s="2" t="s">
        <v>152</v>
      </c>
      <c r="D69" s="2" t="s">
        <v>170</v>
      </c>
      <c r="E69" s="3">
        <v>2</v>
      </c>
      <c r="F69" s="3">
        <v>12</v>
      </c>
      <c r="G69" s="4">
        <f>IF(AND(ISNUMBER(E69),ISNUMBER(F69)),F69-E69,"")</f>
        <v>10</v>
      </c>
      <c r="H69" s="5">
        <f>IF(AND(ISNUMBER(G69),N(F69)&gt;0),G69/F69,"")</f>
        <v>0.8333333333333334</v>
      </c>
      <c r="I69" s="6">
        <v>300</v>
      </c>
      <c r="J69" s="4">
        <f>IF(AND(ISNUMBER(E69),ISNUMBER(I69)),E69*I69,"")</f>
        <v>600</v>
      </c>
      <c r="K69" s="6">
        <v>15000</v>
      </c>
      <c r="L69" s="7" t="s">
        <v>19</v>
      </c>
      <c r="M69" s="7" t="s">
        <v>18</v>
      </c>
      <c r="N69" s="2" t="s">
        <v>171</v>
      </c>
    </row>
    <row r="70" spans="1:14" x14ac:dyDescent="0.25">
      <c r="A70" s="2" t="s">
        <v>172</v>
      </c>
      <c r="B70" s="2" t="s">
        <v>173</v>
      </c>
      <c r="C70" s="2" t="s">
        <v>152</v>
      </c>
      <c r="D70" s="2" t="s">
        <v>170</v>
      </c>
      <c r="E70" s="3">
        <v>5.8</v>
      </c>
      <c r="F70" s="3">
        <v>21</v>
      </c>
      <c r="G70" s="4">
        <f>IF(AND(ISNUMBER(E70),ISNUMBER(F70)),F70-E70,"")</f>
        <v>15.2</v>
      </c>
      <c r="H70" s="5">
        <f>IF(AND(ISNUMBER(G70),N(F70)&gt;0),G70/F70,"")</f>
        <v>0.7238095238095238</v>
      </c>
      <c r="I70" s="6">
        <v>300</v>
      </c>
      <c r="J70" s="4">
        <f>IF(AND(ISNUMBER(E70),ISNUMBER(I70)),E70*I70,"")</f>
        <v>1740</v>
      </c>
      <c r="K70" s="6">
        <v>15000</v>
      </c>
      <c r="L70" s="7" t="s">
        <v>19</v>
      </c>
      <c r="M70" s="7" t="s">
        <v>18</v>
      </c>
      <c r="N70" s="2" t="s">
        <v>174</v>
      </c>
    </row>
    <row r="71" spans="1:14" x14ac:dyDescent="0.25">
      <c r="A71" s="2" t="s">
        <v>175</v>
      </c>
      <c r="B71" s="2" t="s">
        <v>176</v>
      </c>
      <c r="C71" s="2" t="s">
        <v>152</v>
      </c>
      <c r="D71" s="2" t="s">
        <v>177</v>
      </c>
      <c r="E71" s="3">
        <v>4.75</v>
      </c>
      <c r="F71" s="3">
        <v>12.5</v>
      </c>
      <c r="G71" s="4">
        <f>IF(AND(ISNUMBER(E71),ISNUMBER(F71)),F71-E71,"")</f>
        <v>7.75</v>
      </c>
      <c r="H71" s="5">
        <f>IF(AND(ISNUMBER(G71),N(F71)&gt;0),G71/F71,"")</f>
        <v>0.62</v>
      </c>
      <c r="I71" s="6">
        <v>500</v>
      </c>
      <c r="J71" s="4">
        <f>IF(AND(ISNUMBER(E71),ISNUMBER(I71)),E71*I71,"")</f>
        <v>2375</v>
      </c>
      <c r="K71" s="6">
        <v>25000</v>
      </c>
      <c r="L71" s="7" t="s">
        <v>19</v>
      </c>
      <c r="M71" s="7" t="s">
        <v>18</v>
      </c>
      <c r="N71" s="2" t="s">
        <v>178</v>
      </c>
    </row>
    <row r="72" spans="1:14" x14ac:dyDescent="0.25">
      <c r="A72" s="2" t="s">
        <v>179</v>
      </c>
      <c r="B72" s="2" t="s">
        <v>180</v>
      </c>
      <c r="C72" s="2" t="s">
        <v>152</v>
      </c>
      <c r="D72" s="2" t="s">
        <v>170</v>
      </c>
      <c r="E72" s="3">
        <v>1</v>
      </c>
      <c r="F72" s="3">
        <v>15</v>
      </c>
      <c r="G72" s="4">
        <f>IF(AND(ISNUMBER(E72),ISNUMBER(F72)),F72-E72,"")</f>
        <v>14</v>
      </c>
      <c r="H72" s="5">
        <f>IF(AND(ISNUMBER(G72),N(F72)&gt;0),G72/F72,"")</f>
        <v>0.9333333333333333</v>
      </c>
      <c r="I72" s="6">
        <v>500</v>
      </c>
      <c r="J72" s="4">
        <f>IF(AND(ISNUMBER(E72),ISNUMBER(I72)),E72*I72,"")</f>
        <v>500</v>
      </c>
      <c r="K72" s="6">
        <v>25000</v>
      </c>
      <c r="L72" s="7" t="s">
        <v>19</v>
      </c>
      <c r="M72" s="7" t="s">
        <v>18</v>
      </c>
      <c r="N72" s="2" t="s">
        <v>181</v>
      </c>
    </row>
    <row r="73" spans="1:14" x14ac:dyDescent="0.25">
      <c r="A73" s="2" t="s">
        <v>182</v>
      </c>
      <c r="B73" s="2" t="s">
        <v>183</v>
      </c>
      <c r="C73" s="2" t="s">
        <v>152</v>
      </c>
      <c r="D73" s="2" t="s">
        <v>177</v>
      </c>
      <c r="E73" s="3">
        <v>5.2</v>
      </c>
      <c r="F73" s="3">
        <v>14</v>
      </c>
      <c r="G73" s="4">
        <f>IF(AND(ISNUMBER(E73),ISNUMBER(F73)),F73-E73,"")</f>
        <v>8.8</v>
      </c>
      <c r="H73" s="5">
        <f>IF(AND(ISNUMBER(G73),N(F73)&gt;0),G73/F73,"")</f>
        <v>0.6285714285714287</v>
      </c>
      <c r="I73" s="6">
        <v>500</v>
      </c>
      <c r="J73" s="4">
        <f>IF(AND(ISNUMBER(E73),ISNUMBER(I73)),E73*I73,"")</f>
        <v>2600</v>
      </c>
      <c r="K73" s="6">
        <v>25000</v>
      </c>
      <c r="L73" s="7" t="s">
        <v>19</v>
      </c>
      <c r="M73" s="7" t="s">
        <v>18</v>
      </c>
      <c r="N73" s="2" t="s">
        <v>178</v>
      </c>
    </row>
    <row r="74" spans="1:14" x14ac:dyDescent="0.25">
      <c r="A74" s="2" t="s">
        <v>184</v>
      </c>
      <c r="B74" s="2" t="s">
        <v>185</v>
      </c>
      <c r="C74" s="2" t="s">
        <v>152</v>
      </c>
      <c r="D74" s="2" t="s">
        <v>170</v>
      </c>
      <c r="E74" s="3">
        <v>3.6</v>
      </c>
      <c r="F74" s="3">
        <v>12</v>
      </c>
      <c r="G74" s="4">
        <f>IF(AND(ISNUMBER(E74),ISNUMBER(F74)),F74-E74,"")</f>
        <v>8.4</v>
      </c>
      <c r="H74" s="5">
        <f>IF(AND(ISNUMBER(G74),N(F74)&gt;0),G74/F74,"")</f>
        <v>0.7000000000000001</v>
      </c>
      <c r="I74" s="6">
        <v>300</v>
      </c>
      <c r="J74" s="4">
        <f>IF(AND(ISNUMBER(E74),ISNUMBER(I74)),E74*I74,"")</f>
        <v>1080</v>
      </c>
      <c r="K74" s="6">
        <v>15000</v>
      </c>
      <c r="L74" s="7" t="s">
        <v>19</v>
      </c>
      <c r="M74" s="7" t="s">
        <v>18</v>
      </c>
      <c r="N74" s="2" t="s">
        <v>186</v>
      </c>
    </row>
    <row r="75" spans="1:14" x14ac:dyDescent="0.25">
      <c r="A75" s="2" t="s">
        <v>187</v>
      </c>
      <c r="B75" s="2" t="s">
        <v>188</v>
      </c>
      <c r="C75" s="2" t="s">
        <v>152</v>
      </c>
      <c r="D75" s="2" t="s">
        <v>170</v>
      </c>
      <c r="E75" s="3">
        <v>24</v>
      </c>
      <c r="F75" s="3">
        <v>55</v>
      </c>
      <c r="G75" s="4">
        <f>IF(AND(ISNUMBER(E75),ISNUMBER(F75)),F75-E75,"")</f>
        <v>31</v>
      </c>
      <c r="H75" s="5">
        <f>IF(AND(ISNUMBER(G75),N(F75)&gt;0),G75/F75,"")</f>
        <v>0.5636363636363636</v>
      </c>
      <c r="I75" s="6">
        <v>150</v>
      </c>
      <c r="J75" s="4">
        <f>IF(AND(ISNUMBER(E75),ISNUMBER(I75)),E75*I75,"")</f>
        <v>3600</v>
      </c>
      <c r="K75" s="6">
        <v>7500</v>
      </c>
      <c r="L75" s="7" t="s">
        <v>19</v>
      </c>
      <c r="M75" s="7" t="s">
        <v>18</v>
      </c>
      <c r="N75" s="2" t="s">
        <v>189</v>
      </c>
    </row>
    <row r="76" spans="1:14" x14ac:dyDescent="0.25">
      <c r="A76" s="2" t="s">
        <v>190</v>
      </c>
      <c r="B76" s="2" t="s">
        <v>191</v>
      </c>
      <c r="C76" s="2" t="s">
        <v>152</v>
      </c>
      <c r="D76" s="2" t="s">
        <v>170</v>
      </c>
      <c r="E76" s="3">
        <v>24</v>
      </c>
      <c r="F76" s="3">
        <v>55</v>
      </c>
      <c r="G76" s="4">
        <f>IF(AND(ISNUMBER(E76),ISNUMBER(F76)),F76-E76,"")</f>
        <v>31</v>
      </c>
      <c r="H76" s="5">
        <f>IF(AND(ISNUMBER(G76),N(F76)&gt;0),G76/F76,"")</f>
        <v>0.5636363636363636</v>
      </c>
      <c r="I76" s="6">
        <v>150</v>
      </c>
      <c r="J76" s="4">
        <f>IF(AND(ISNUMBER(E76),ISNUMBER(I76)),E76*I76,"")</f>
        <v>3600</v>
      </c>
      <c r="K76" s="6">
        <v>7500</v>
      </c>
      <c r="L76" s="7" t="s">
        <v>19</v>
      </c>
      <c r="M76" s="7" t="s">
        <v>18</v>
      </c>
      <c r="N76" s="2" t="s">
        <v>189</v>
      </c>
    </row>
    <row r="77" spans="1:14" x14ac:dyDescent="0.25">
      <c r="A77" s="2" t="s">
        <v>192</v>
      </c>
      <c r="B77" s="2" t="s">
        <v>193</v>
      </c>
      <c r="C77" s="2" t="s">
        <v>152</v>
      </c>
      <c r="D77" s="2" t="s">
        <v>194</v>
      </c>
      <c r="E77" s="3">
        <v>41</v>
      </c>
      <c r="F77" s="3">
        <v>122</v>
      </c>
      <c r="G77" s="4">
        <f>IF(AND(ISNUMBER(E77),ISNUMBER(F77)),F77-E77,"")</f>
        <v>81</v>
      </c>
      <c r="H77" s="5">
        <f>IF(AND(ISNUMBER(G77),N(F77)&gt;0),G77/F77,"")</f>
        <v>0.6639344262295082</v>
      </c>
      <c r="I77" s="6">
        <v>150</v>
      </c>
      <c r="J77" s="4">
        <f>IF(AND(ISNUMBER(E77),ISNUMBER(I77)),E77*I77,"")</f>
        <v>6150</v>
      </c>
      <c r="K77" s="6">
        <v>7500</v>
      </c>
      <c r="L77" s="7" t="s">
        <v>19</v>
      </c>
      <c r="M77" s="7" t="s">
        <v>18</v>
      </c>
      <c r="N77" s="2" t="s">
        <v>189</v>
      </c>
    </row>
    <row r="78" spans="1:14" x14ac:dyDescent="0.25">
      <c r="A78" s="2" t="s">
        <v>195</v>
      </c>
      <c r="B78" s="2" t="s">
        <v>196</v>
      </c>
      <c r="C78" s="2" t="s">
        <v>152</v>
      </c>
      <c r="D78" s="2" t="s">
        <v>194</v>
      </c>
      <c r="E78" s="3">
        <v>41</v>
      </c>
      <c r="F78" s="3">
        <v>122</v>
      </c>
      <c r="G78" s="4">
        <f>IF(AND(ISNUMBER(E78),ISNUMBER(F78)),F78-E78,"")</f>
        <v>81</v>
      </c>
      <c r="H78" s="5">
        <f>IF(AND(ISNUMBER(G78),N(F78)&gt;0),G78/F78,"")</f>
        <v>0.6639344262295082</v>
      </c>
      <c r="I78" s="6">
        <v>150</v>
      </c>
      <c r="J78" s="4">
        <f>IF(AND(ISNUMBER(E78),ISNUMBER(I78)),E78*I78,"")</f>
        <v>6150</v>
      </c>
      <c r="K78" s="6">
        <v>7500</v>
      </c>
      <c r="L78" s="7" t="s">
        <v>19</v>
      </c>
      <c r="M78" s="7" t="s">
        <v>18</v>
      </c>
      <c r="N78" s="2" t="s">
        <v>189</v>
      </c>
    </row>
    <row r="79" spans="1:14" x14ac:dyDescent="0.25">
      <c r="A79" s="2" t="s">
        <v>197</v>
      </c>
      <c r="B79" s="2" t="s">
        <v>198</v>
      </c>
      <c r="C79" s="2" t="s">
        <v>152</v>
      </c>
      <c r="D79" s="2" t="s">
        <v>170</v>
      </c>
      <c r="E79" s="3">
        <v>27</v>
      </c>
      <c r="F79" s="3">
        <v>57</v>
      </c>
      <c r="G79" s="4">
        <f>IF(AND(ISNUMBER(E79),ISNUMBER(F79)),F79-E79,"")</f>
        <v>30</v>
      </c>
      <c r="H79" s="5">
        <f>IF(AND(ISNUMBER(G79),N(F79)&gt;0),G79/F79,"")</f>
        <v>0.5263157894736842</v>
      </c>
      <c r="I79" s="6">
        <v>150</v>
      </c>
      <c r="J79" s="4">
        <f>IF(AND(ISNUMBER(E79),ISNUMBER(I79)),E79*I79,"")</f>
        <v>4050</v>
      </c>
      <c r="K79" s="6">
        <v>7500</v>
      </c>
      <c r="L79" s="7" t="s">
        <v>19</v>
      </c>
      <c r="M79" s="7" t="s">
        <v>18</v>
      </c>
      <c r="N79" s="2" t="s">
        <v>189</v>
      </c>
    </row>
    <row r="80" spans="1:14" x14ac:dyDescent="0.25">
      <c r="A80" s="2" t="s">
        <v>199</v>
      </c>
      <c r="B80" s="2" t="s">
        <v>200</v>
      </c>
      <c r="C80" s="2" t="s">
        <v>152</v>
      </c>
      <c r="D80" s="2" t="s">
        <v>170</v>
      </c>
      <c r="E80" s="3">
        <v>27</v>
      </c>
      <c r="F80" s="3">
        <v>57</v>
      </c>
      <c r="G80" s="4">
        <f>IF(AND(ISNUMBER(E80),ISNUMBER(F80)),F80-E80,"")</f>
        <v>30</v>
      </c>
      <c r="H80" s="5">
        <f>IF(AND(ISNUMBER(G80),N(F80)&gt;0),G80/F80,"")</f>
        <v>0.5263157894736842</v>
      </c>
      <c r="I80" s="6">
        <v>150</v>
      </c>
      <c r="J80" s="4">
        <f>IF(AND(ISNUMBER(E80),ISNUMBER(I80)),E80*I80,"")</f>
        <v>4050</v>
      </c>
      <c r="K80" s="6">
        <v>7500</v>
      </c>
      <c r="L80" s="7" t="s">
        <v>19</v>
      </c>
      <c r="M80" s="7" t="s">
        <v>18</v>
      </c>
      <c r="N80" s="2" t="s">
        <v>189</v>
      </c>
    </row>
    <row r="81" spans="1:14" x14ac:dyDescent="0.25">
      <c r="A81" s="2" t="s">
        <v>201</v>
      </c>
      <c r="B81" s="2" t="s">
        <v>202</v>
      </c>
      <c r="C81" s="2" t="s">
        <v>152</v>
      </c>
      <c r="D81" s="2" t="s">
        <v>194</v>
      </c>
      <c r="E81" s="3">
        <v>45</v>
      </c>
      <c r="F81" s="3">
        <v>127</v>
      </c>
      <c r="G81" s="4">
        <f>IF(AND(ISNUMBER(E81),ISNUMBER(F81)),F81-E81,"")</f>
        <v>82</v>
      </c>
      <c r="H81" s="5">
        <f>IF(AND(ISNUMBER(G81),N(F81)&gt;0),G81/F81,"")</f>
        <v>0.6456692913385826</v>
      </c>
      <c r="I81" s="6">
        <v>150</v>
      </c>
      <c r="J81" s="4">
        <f>IF(AND(ISNUMBER(E81),ISNUMBER(I81)),E81*I81,"")</f>
        <v>6750</v>
      </c>
      <c r="K81" s="6">
        <v>7500</v>
      </c>
      <c r="L81" s="7" t="s">
        <v>19</v>
      </c>
      <c r="M81" s="7" t="s">
        <v>18</v>
      </c>
      <c r="N81" s="2" t="s">
        <v>189</v>
      </c>
    </row>
    <row r="82" spans="1:14" x14ac:dyDescent="0.25">
      <c r="A82" s="2" t="s">
        <v>203</v>
      </c>
      <c r="B82" s="2" t="s">
        <v>204</v>
      </c>
      <c r="C82" s="2" t="s">
        <v>152</v>
      </c>
      <c r="D82" s="2" t="s">
        <v>194</v>
      </c>
      <c r="E82" s="3">
        <v>45</v>
      </c>
      <c r="F82" s="3">
        <v>127</v>
      </c>
      <c r="G82" s="4">
        <f>IF(AND(ISNUMBER(E82),ISNUMBER(F82)),F82-E82,"")</f>
        <v>82</v>
      </c>
      <c r="H82" s="5">
        <f>IF(AND(ISNUMBER(G82),N(F82)&gt;0),G82/F82,"")</f>
        <v>0.6456692913385826</v>
      </c>
      <c r="I82" s="6">
        <v>150</v>
      </c>
      <c r="J82" s="4">
        <f>IF(AND(ISNUMBER(E82),ISNUMBER(I82)),E82*I82,"")</f>
        <v>6750</v>
      </c>
      <c r="K82" s="6">
        <v>7500</v>
      </c>
      <c r="L82" s="7" t="s">
        <v>19</v>
      </c>
      <c r="M82" s="7" t="s">
        <v>18</v>
      </c>
      <c r="N82" s="2" t="s">
        <v>189</v>
      </c>
    </row>
    <row r="83" spans="1:14" x14ac:dyDescent="0.25">
      <c r="A83" s="2" t="s">
        <v>205</v>
      </c>
      <c r="B83" s="2" t="s">
        <v>206</v>
      </c>
      <c r="C83" s="2" t="s">
        <v>152</v>
      </c>
      <c r="D83" s="2" t="s">
        <v>160</v>
      </c>
      <c r="E83" s="3">
        <v>0.1</v>
      </c>
      <c r="F83" s="3">
        <v>6.75</v>
      </c>
      <c r="G83" s="4">
        <f>IF(AND(ISNUMBER(E83),ISNUMBER(F83)),F83-E83,"")</f>
        <v>6.65</v>
      </c>
      <c r="H83" s="5">
        <f>IF(AND(ISNUMBER(G83),N(F83)&gt;0),G83/F83,"")</f>
        <v>0.9851851851851853</v>
      </c>
      <c r="I83" s="6">
        <v>500</v>
      </c>
      <c r="J83" s="4">
        <f>IF(AND(ISNUMBER(E83),ISNUMBER(I83)),E83*I83,"")</f>
        <v>50</v>
      </c>
      <c r="K83" s="6">
        <v>25000</v>
      </c>
      <c r="L83" s="7" t="s">
        <v>19</v>
      </c>
      <c r="M83" s="7" t="s">
        <v>18</v>
      </c>
      <c r="N83" s="2" t="s">
        <v>207</v>
      </c>
    </row>
    <row r="84" spans="1:14" x14ac:dyDescent="0.25">
      <c r="A84" s="2" t="s">
        <v>208</v>
      </c>
      <c r="B84" s="2" t="s">
        <v>209</v>
      </c>
      <c r="C84" s="2" t="s">
        <v>152</v>
      </c>
      <c r="D84" s="2" t="s">
        <v>177</v>
      </c>
      <c r="E84" s="3">
        <v>2.91</v>
      </c>
      <c r="F84" s="3">
        <v>7.2</v>
      </c>
      <c r="G84" s="4">
        <f>IF(AND(ISNUMBER(E84),ISNUMBER(F84)),F84-E84,"")</f>
        <v>4.29</v>
      </c>
      <c r="H84" s="5">
        <f>IF(AND(ISNUMBER(G84),N(F84)&gt;0),G84/F84,"")</f>
        <v>0.5958333333333333</v>
      </c>
      <c r="I84" s="6">
        <v>500</v>
      </c>
      <c r="J84" s="4">
        <f>IF(AND(ISNUMBER(E84),ISNUMBER(I84)),E84*I84,"")</f>
        <v>1455</v>
      </c>
      <c r="K84" s="6">
        <v>25000</v>
      </c>
      <c r="L84" s="7" t="s">
        <v>19</v>
      </c>
      <c r="M84" s="7" t="s">
        <v>18</v>
      </c>
      <c r="N84" s="2" t="s">
        <v>210</v>
      </c>
    </row>
    <row r="85" spans="1:14" x14ac:dyDescent="0.25">
      <c r="A85" s="2" t="s">
        <v>211</v>
      </c>
      <c r="B85" s="2" t="s">
        <v>212</v>
      </c>
      <c r="C85" s="2" t="s">
        <v>152</v>
      </c>
      <c r="D85" s="2" t="s">
        <v>177</v>
      </c>
      <c r="E85" s="3">
        <v>0.9</v>
      </c>
      <c r="F85" s="3">
        <v>3.9</v>
      </c>
      <c r="G85" s="4">
        <f>IF(AND(ISNUMBER(E85),ISNUMBER(F85)),F85-E85,"")</f>
        <v>3</v>
      </c>
      <c r="H85" s="5">
        <f>IF(AND(ISNUMBER(G85),N(F85)&gt;0),G85/F85,"")</f>
        <v>0.7692307692307693</v>
      </c>
      <c r="I85" s="6">
        <v>500</v>
      </c>
      <c r="J85" s="4">
        <f>IF(AND(ISNUMBER(E85),ISNUMBER(I85)),E85*I85,"")</f>
        <v>450</v>
      </c>
      <c r="K85" s="6">
        <v>50000</v>
      </c>
      <c r="L85" s="7" t="s">
        <v>19</v>
      </c>
      <c r="M85" s="7" t="s">
        <v>18</v>
      </c>
      <c r="N85" s="2" t="s">
        <v>213</v>
      </c>
    </row>
    <row r="86" spans="1:14" x14ac:dyDescent="0.25">
      <c r="A86" s="2" t="s">
        <v>214</v>
      </c>
      <c r="B86" s="2" t="s">
        <v>215</v>
      </c>
      <c r="C86" s="2" t="s">
        <v>152</v>
      </c>
      <c r="D86" s="2" t="s">
        <v>177</v>
      </c>
      <c r="E86" s="3">
        <v>0.9</v>
      </c>
      <c r="F86" s="3">
        <v>3.9</v>
      </c>
      <c r="G86" s="4">
        <f>IF(AND(ISNUMBER(E86),ISNUMBER(F86)),F86-E86,"")</f>
        <v>3</v>
      </c>
      <c r="H86" s="5">
        <f>IF(AND(ISNUMBER(G86),N(F86)&gt;0),G86/F86,"")</f>
        <v>0.7692307692307693</v>
      </c>
      <c r="I86" s="6">
        <v>500</v>
      </c>
      <c r="J86" s="4">
        <f>IF(AND(ISNUMBER(E86),ISNUMBER(I86)),E86*I86,"")</f>
        <v>450</v>
      </c>
      <c r="K86" s="6">
        <v>50000</v>
      </c>
      <c r="L86" s="7" t="s">
        <v>19</v>
      </c>
      <c r="M86" s="7" t="s">
        <v>18</v>
      </c>
      <c r="N86" s="2" t="s">
        <v>213</v>
      </c>
    </row>
    <row r="87" spans="1:14" x14ac:dyDescent="0.25">
      <c r="A87" s="2" t="s">
        <v>216</v>
      </c>
      <c r="B87" s="2" t="s">
        <v>217</v>
      </c>
      <c r="C87" s="2" t="s">
        <v>152</v>
      </c>
      <c r="D87" s="2" t="s">
        <v>177</v>
      </c>
      <c r="E87" s="3">
        <v>2.1</v>
      </c>
      <c r="F87" s="3">
        <v>5.2</v>
      </c>
      <c r="G87" s="4">
        <f>IF(AND(ISNUMBER(E87),ISNUMBER(F87)),F87-E87,"")</f>
        <v>3.1</v>
      </c>
      <c r="H87" s="5">
        <f>IF(AND(ISNUMBER(G87),N(F87)&gt;0),G87/F87,"")</f>
        <v>0.5961538461538461</v>
      </c>
      <c r="I87" s="6">
        <v>500</v>
      </c>
      <c r="J87" s="4">
        <f>IF(AND(ISNUMBER(E87),ISNUMBER(I87)),E87*I87,"")</f>
        <v>1050</v>
      </c>
      <c r="K87" s="6">
        <v>25000</v>
      </c>
      <c r="L87" s="7" t="s">
        <v>19</v>
      </c>
      <c r="M87" s="7" t="s">
        <v>18</v>
      </c>
      <c r="N87" s="2" t="s">
        <v>210</v>
      </c>
    </row>
    <row r="88" spans="1:14" x14ac:dyDescent="0.25">
      <c r="A88" s="2" t="s">
        <v>218</v>
      </c>
      <c r="B88" s="2" t="s">
        <v>219</v>
      </c>
      <c r="C88" s="2" t="s">
        <v>152</v>
      </c>
      <c r="D88" s="2" t="s">
        <v>177</v>
      </c>
      <c r="E88" s="3">
        <v>1.52</v>
      </c>
      <c r="F88" s="3">
        <v>3.8</v>
      </c>
      <c r="G88" s="4">
        <f>IF(AND(ISNUMBER(E88),ISNUMBER(F88)),F88-E88,"")</f>
        <v>2.28</v>
      </c>
      <c r="H88" s="5">
        <f>IF(AND(ISNUMBER(G88),N(F88)&gt;0),G88/F88,"")</f>
        <v>0.6</v>
      </c>
      <c r="I88" s="6">
        <v>500</v>
      </c>
      <c r="J88" s="4">
        <f>IF(AND(ISNUMBER(E88),ISNUMBER(I88)),E88*I88,"")</f>
        <v>760</v>
      </c>
      <c r="K88" s="6">
        <v>25000</v>
      </c>
      <c r="L88" s="7" t="s">
        <v>19</v>
      </c>
      <c r="M88" s="7" t="s">
        <v>18</v>
      </c>
      <c r="N88" s="2" t="s">
        <v>210</v>
      </c>
    </row>
    <row r="89" spans="1:14" x14ac:dyDescent="0.25">
      <c r="A89" s="2" t="s">
        <v>220</v>
      </c>
      <c r="B89" s="2" t="s">
        <v>221</v>
      </c>
      <c r="C89" s="2" t="s">
        <v>152</v>
      </c>
      <c r="D89" s="2" t="s">
        <v>177</v>
      </c>
      <c r="E89" s="3">
        <v>0.9</v>
      </c>
      <c r="F89" s="3">
        <v>3.9</v>
      </c>
      <c r="G89" s="4">
        <f>IF(AND(ISNUMBER(E89),ISNUMBER(F89)),F89-E89,"")</f>
        <v>3</v>
      </c>
      <c r="H89" s="5">
        <f>IF(AND(ISNUMBER(G89),N(F89)&gt;0),G89/F89,"")</f>
        <v>0.7692307692307693</v>
      </c>
      <c r="I89" s="6">
        <v>500</v>
      </c>
      <c r="J89" s="4">
        <f>IF(AND(ISNUMBER(E89),ISNUMBER(I89)),E89*I89,"")</f>
        <v>450</v>
      </c>
      <c r="K89" s="6">
        <v>50000</v>
      </c>
      <c r="L89" s="7" t="s">
        <v>19</v>
      </c>
      <c r="M89" s="7" t="s">
        <v>18</v>
      </c>
      <c r="N89" s="2" t="s">
        <v>222</v>
      </c>
    </row>
    <row r="90" spans="1:14" x14ac:dyDescent="0.25">
      <c r="A90" s="2" t="s">
        <v>223</v>
      </c>
      <c r="B90" s="2" t="s">
        <v>224</v>
      </c>
      <c r="C90" s="2" t="s">
        <v>152</v>
      </c>
      <c r="D90" s="2" t="s">
        <v>160</v>
      </c>
      <c r="E90" s="3">
        <v>6</v>
      </c>
      <c r="F90" s="3">
        <v>25</v>
      </c>
      <c r="G90" s="4">
        <f>IF(AND(ISNUMBER(E90),ISNUMBER(F90)),F90-E90,"")</f>
        <v>19</v>
      </c>
      <c r="H90" s="5">
        <f>IF(AND(ISNUMBER(G90),N(F90)&gt;0),G90/F90,"")</f>
        <v>0.76</v>
      </c>
      <c r="I90" s="6">
        <v>100</v>
      </c>
      <c r="J90" s="4">
        <f>IF(AND(ISNUMBER(E90),ISNUMBER(I90)),E90*I90,"")</f>
        <v>600</v>
      </c>
      <c r="K90" s="6">
        <v>15000</v>
      </c>
      <c r="L90" s="7" t="s">
        <v>19</v>
      </c>
      <c r="M90" s="7" t="s">
        <v>18</v>
      </c>
      <c r="N90" s="2" t="s">
        <v>225</v>
      </c>
    </row>
    <row r="91" spans="1:14" x14ac:dyDescent="0.25">
      <c r="A91" s="2" t="s">
        <v>226</v>
      </c>
      <c r="B91" s="2" t="s">
        <v>227</v>
      </c>
      <c r="C91" s="2" t="s">
        <v>152</v>
      </c>
      <c r="D91" s="2" t="s">
        <v>160</v>
      </c>
      <c r="E91" s="3">
        <v>10</v>
      </c>
      <c r="F91" s="3">
        <v>40</v>
      </c>
      <c r="G91" s="4">
        <f>IF(AND(ISNUMBER(E91),ISNUMBER(F91)),F91-E91,"")</f>
        <v>30</v>
      </c>
      <c r="H91" s="5">
        <f>IF(AND(ISNUMBER(G91),N(F91)&gt;0),G91/F91,"")</f>
        <v>0.75</v>
      </c>
      <c r="I91" s="6">
        <v>100</v>
      </c>
      <c r="J91" s="4">
        <f>IF(AND(ISNUMBER(E91),ISNUMBER(I91)),E91*I91,"")</f>
        <v>1000</v>
      </c>
      <c r="K91" s="6">
        <v>15000</v>
      </c>
      <c r="L91" s="7" t="s">
        <v>19</v>
      </c>
      <c r="M91" s="7" t="s">
        <v>18</v>
      </c>
      <c r="N91" s="2" t="s">
        <v>228</v>
      </c>
    </row>
    <row r="92" spans="1:14" x14ac:dyDescent="0.25">
      <c r="A92" s="2" t="s">
        <v>229</v>
      </c>
      <c r="B92" s="2" t="s">
        <v>230</v>
      </c>
      <c r="C92" s="2" t="s">
        <v>152</v>
      </c>
      <c r="D92" s="2" t="s">
        <v>177</v>
      </c>
      <c r="E92" s="3">
        <v>2.22</v>
      </c>
      <c r="F92" s="3">
        <v>6.25</v>
      </c>
      <c r="G92" s="4">
        <f>IF(AND(ISNUMBER(E92),ISNUMBER(F92)),F92-E92,"")</f>
        <v>4.029999999999999</v>
      </c>
      <c r="H92" s="5">
        <f>IF(AND(ISNUMBER(G92),N(F92)&gt;0),G92/F92,"")</f>
        <v>0.6447999999999999</v>
      </c>
      <c r="I92" s="6">
        <v>500</v>
      </c>
      <c r="J92" s="4">
        <f>IF(AND(ISNUMBER(E92),ISNUMBER(I92)),E92*I92,"")</f>
        <v>1110</v>
      </c>
      <c r="K92" s="6">
        <v>25000</v>
      </c>
      <c r="L92" s="7" t="s">
        <v>19</v>
      </c>
      <c r="M92" s="7" t="s">
        <v>18</v>
      </c>
      <c r="N92" s="2" t="s">
        <v>178</v>
      </c>
    </row>
    <row r="93" spans="1:14" x14ac:dyDescent="0.25">
      <c r="A93" s="2" t="s">
        <v>231</v>
      </c>
      <c r="B93" s="2" t="s">
        <v>232</v>
      </c>
      <c r="C93" s="2" t="s">
        <v>152</v>
      </c>
      <c r="D93" s="2" t="s">
        <v>160</v>
      </c>
      <c r="E93" s="3">
        <v>2.5</v>
      </c>
      <c r="F93" s="3">
        <v>8</v>
      </c>
      <c r="G93" s="4">
        <f>IF(AND(ISNUMBER(E93),ISNUMBER(F93)),F93-E93,"")</f>
        <v>5.5</v>
      </c>
      <c r="H93" s="5">
        <f>IF(AND(ISNUMBER(G93),N(F93)&gt;0),G93/F93,"")</f>
        <v>0.6875</v>
      </c>
      <c r="I93" s="6">
        <v>500</v>
      </c>
      <c r="J93" s="4">
        <f>IF(AND(ISNUMBER(E93),ISNUMBER(I93)),E93*I93,"")</f>
        <v>1250</v>
      </c>
      <c r="K93" s="6">
        <v>25000</v>
      </c>
      <c r="L93" s="7" t="s">
        <v>19</v>
      </c>
      <c r="M93" s="7" t="s">
        <v>18</v>
      </c>
      <c r="N93" s="2" t="s">
        <v>233</v>
      </c>
    </row>
    <row r="94" spans="1:14" x14ac:dyDescent="0.25">
      <c r="A94" s="2" t="s">
        <v>234</v>
      </c>
      <c r="B94" s="2" t="s">
        <v>235</v>
      </c>
      <c r="C94" s="2" t="s">
        <v>152</v>
      </c>
      <c r="D94" s="2" t="s">
        <v>160</v>
      </c>
      <c r="E94" s="3">
        <v>1.1</v>
      </c>
      <c r="F94" s="3">
        <v>6</v>
      </c>
      <c r="G94" s="4">
        <f>IF(AND(ISNUMBER(E94),ISNUMBER(F94)),F94-E94,"")</f>
        <v>4.9</v>
      </c>
      <c r="H94" s="5">
        <f>IF(AND(ISNUMBER(G94),N(F94)&gt;0),G94/F94,"")</f>
        <v>0.8166666666666668</v>
      </c>
      <c r="I94" s="6">
        <v>500</v>
      </c>
      <c r="J94" s="4">
        <f>IF(AND(ISNUMBER(E94),ISNUMBER(I94)),E94*I94,"")</f>
        <v>550</v>
      </c>
      <c r="K94" s="6">
        <v>25000</v>
      </c>
      <c r="L94" s="7" t="s">
        <v>19</v>
      </c>
      <c r="M94" s="7" t="s">
        <v>18</v>
      </c>
      <c r="N94" s="2" t="s">
        <v>233</v>
      </c>
    </row>
    <row r="95" spans="1:14" x14ac:dyDescent="0.25">
      <c r="A95" s="2" t="s">
        <v>236</v>
      </c>
      <c r="B95" s="2" t="s">
        <v>237</v>
      </c>
      <c r="C95" s="2" t="s">
        <v>152</v>
      </c>
      <c r="D95" s="2" t="s">
        <v>238</v>
      </c>
      <c r="E95" s="3">
        <v>5</v>
      </c>
      <c r="F95" s="3">
        <v>18</v>
      </c>
      <c r="G95" s="4">
        <f>IF(AND(ISNUMBER(E95),ISNUMBER(F95)),F95-E95,"")</f>
        <v>13</v>
      </c>
      <c r="H95" s="5">
        <f>IF(AND(ISNUMBER(G95),N(F95)&gt;0),G95/F95,"")</f>
        <v>0.7222222222222222</v>
      </c>
      <c r="I95" s="6">
        <v>300</v>
      </c>
      <c r="J95" s="4">
        <f>IF(AND(ISNUMBER(E95),ISNUMBER(I95)),E95*I95,"")</f>
        <v>1500</v>
      </c>
      <c r="K95" s="6">
        <v>15000</v>
      </c>
      <c r="L95" s="7" t="s">
        <v>19</v>
      </c>
      <c r="M95" s="7" t="s">
        <v>18</v>
      </c>
      <c r="N95" s="2" t="s">
        <v>225</v>
      </c>
    </row>
    <row r="96" spans="1:14" x14ac:dyDescent="0.25">
      <c r="A96" s="2" t="s">
        <v>239</v>
      </c>
      <c r="B96" s="2" t="s">
        <v>240</v>
      </c>
      <c r="C96" s="2" t="s">
        <v>152</v>
      </c>
      <c r="D96" s="2" t="s">
        <v>238</v>
      </c>
      <c r="E96" s="3">
        <v>7</v>
      </c>
      <c r="F96" s="3">
        <v>32</v>
      </c>
      <c r="G96" s="4">
        <f>IF(AND(ISNUMBER(E96),ISNUMBER(F96)),F96-E96,"")</f>
        <v>25</v>
      </c>
      <c r="H96" s="5">
        <f>IF(AND(ISNUMBER(G96),N(F96)&gt;0),G96/F96,"")</f>
        <v>0.78125</v>
      </c>
      <c r="I96" s="6">
        <v>300</v>
      </c>
      <c r="J96" s="4">
        <f>IF(AND(ISNUMBER(E96),ISNUMBER(I96)),E96*I96,"")</f>
        <v>2100</v>
      </c>
      <c r="K96" s="6">
        <v>15000</v>
      </c>
      <c r="L96" s="7" t="s">
        <v>19</v>
      </c>
      <c r="M96" s="7" t="s">
        <v>18</v>
      </c>
      <c r="N96" s="2" t="s">
        <v>228</v>
      </c>
    </row>
    <row r="97" spans="1:14" x14ac:dyDescent="0.25">
      <c r="A97" s="2" t="s">
        <v>241</v>
      </c>
      <c r="B97" s="2" t="s">
        <v>242</v>
      </c>
      <c r="C97" s="2" t="s">
        <v>152</v>
      </c>
      <c r="D97" s="2" t="s">
        <v>160</v>
      </c>
      <c r="E97" s="3">
        <v>9</v>
      </c>
      <c r="F97" s="3">
        <v>19</v>
      </c>
      <c r="G97" s="4">
        <f>IF(AND(ISNUMBER(E97),ISNUMBER(F97)),F97-E97,"")</f>
        <v>10</v>
      </c>
      <c r="H97" s="5">
        <f>IF(AND(ISNUMBER(G97),N(F97)&gt;0),G97/F97,"")</f>
        <v>0.5263157894736842</v>
      </c>
      <c r="I97" s="6">
        <v>500</v>
      </c>
      <c r="J97" s="4">
        <f>IF(AND(ISNUMBER(E97),ISNUMBER(I97)),E97*I97,"")</f>
        <v>4500</v>
      </c>
      <c r="K97" s="6">
        <v>25000</v>
      </c>
      <c r="L97" s="7" t="s">
        <v>19</v>
      </c>
      <c r="M97" s="7" t="s">
        <v>18</v>
      </c>
      <c r="N97" s="2" t="s">
        <v>243</v>
      </c>
    </row>
    <row r="98" spans="1:14" x14ac:dyDescent="0.25">
      <c r="A98" s="2" t="s">
        <v>244</v>
      </c>
      <c r="B98" s="2" t="s">
        <v>245</v>
      </c>
      <c r="C98" s="2" t="s">
        <v>152</v>
      </c>
      <c r="D98" s="2" t="s">
        <v>177</v>
      </c>
      <c r="E98" s="3">
        <v>4.45</v>
      </c>
      <c r="F98" s="3">
        <v>11.65</v>
      </c>
      <c r="G98" s="4">
        <f>IF(AND(ISNUMBER(E98),ISNUMBER(F98)),F98-E98,"")</f>
        <v>7.2</v>
      </c>
      <c r="H98" s="5">
        <f>IF(AND(ISNUMBER(G98),N(F98)&gt;0),G98/F98,"")</f>
        <v>0.6180257510729613</v>
      </c>
      <c r="I98" s="6">
        <v>500</v>
      </c>
      <c r="J98" s="4">
        <f>IF(AND(ISNUMBER(E98),ISNUMBER(I98)),E98*I98,"")</f>
        <v>2225</v>
      </c>
      <c r="K98" s="6">
        <v>25000</v>
      </c>
      <c r="L98" s="7" t="s">
        <v>19</v>
      </c>
      <c r="M98" s="7" t="s">
        <v>18</v>
      </c>
      <c r="N98" s="2" t="s">
        <v>178</v>
      </c>
    </row>
    <row r="99" spans="1:14" x14ac:dyDescent="0.25">
      <c r="A99" s="2" t="s">
        <v>246</v>
      </c>
      <c r="B99" s="2" t="s">
        <v>247</v>
      </c>
      <c r="C99" s="2" t="s">
        <v>152</v>
      </c>
      <c r="D99" s="2" t="s">
        <v>177</v>
      </c>
      <c r="E99" s="3">
        <v>4.33</v>
      </c>
      <c r="F99" s="3">
        <v>11.5</v>
      </c>
      <c r="G99" s="4">
        <f>IF(AND(ISNUMBER(E99),ISNUMBER(F99)),F99-E99,"")</f>
        <v>7.17</v>
      </c>
      <c r="H99" s="5">
        <f>IF(AND(ISNUMBER(G99),N(F99)&gt;0),G99/F99,"")</f>
        <v>0.6234782608695653</v>
      </c>
      <c r="I99" s="6">
        <v>500</v>
      </c>
      <c r="J99" s="4">
        <f>IF(AND(ISNUMBER(E99),ISNUMBER(I99)),E99*I99,"")</f>
        <v>2165</v>
      </c>
      <c r="K99" s="6">
        <v>25000</v>
      </c>
      <c r="L99" s="7" t="s">
        <v>19</v>
      </c>
      <c r="M99" s="7" t="s">
        <v>18</v>
      </c>
      <c r="N99" s="2" t="s">
        <v>248</v>
      </c>
    </row>
    <row r="100" spans="1:14" x14ac:dyDescent="0.25">
      <c r="A100" s="2" t="s">
        <v>249</v>
      </c>
      <c r="B100" s="2" t="s">
        <v>250</v>
      </c>
      <c r="C100" s="2" t="s">
        <v>152</v>
      </c>
      <c r="D100" s="2" t="s">
        <v>238</v>
      </c>
      <c r="E100" s="3">
        <v>91</v>
      </c>
      <c r="F100" s="3">
        <v>160</v>
      </c>
      <c r="G100" s="4">
        <f>IF(AND(ISNUMBER(E100),ISNUMBER(F100)),F100-E100,"")</f>
        <v>69</v>
      </c>
      <c r="H100" s="5">
        <f>IF(AND(ISNUMBER(G100),N(F100)&gt;0),G100/F100,"")</f>
        <v>0.43125</v>
      </c>
      <c r="I100" s="6">
        <v>150</v>
      </c>
      <c r="J100" s="4">
        <f>IF(AND(ISNUMBER(E100),ISNUMBER(I100)),E100*I100,"")</f>
        <v>13650</v>
      </c>
      <c r="K100" s="6">
        <v>7500</v>
      </c>
      <c r="L100" s="7" t="s">
        <v>19</v>
      </c>
      <c r="M100" s="7" t="s">
        <v>18</v>
      </c>
      <c r="N100" s="2" t="s">
        <v>251</v>
      </c>
    </row>
    <row r="101" spans="1:14" x14ac:dyDescent="0.25">
      <c r="A101" s="2" t="s">
        <v>252</v>
      </c>
      <c r="B101" s="2" t="s">
        <v>253</v>
      </c>
      <c r="C101" s="2" t="s">
        <v>152</v>
      </c>
      <c r="D101" s="2" t="s">
        <v>153</v>
      </c>
      <c r="E101" s="3">
        <v>768</v>
      </c>
      <c r="F101" s="3">
        <v>1270</v>
      </c>
      <c r="G101" s="4">
        <f>IF(AND(ISNUMBER(E101),ISNUMBER(F101)),F101-E101,"")</f>
        <v>502</v>
      </c>
      <c r="H101" s="5">
        <f>IF(AND(ISNUMBER(G101),N(F101)&gt;0),G101/F101,"")</f>
        <v>0.3952755905511811</v>
      </c>
      <c r="I101" s="6">
        <v>150</v>
      </c>
      <c r="J101" s="4">
        <f>IF(AND(ISNUMBER(E101),ISNUMBER(I101)),E101*I101,"")</f>
        <v>115200</v>
      </c>
      <c r="K101" s="6">
        <v>7500</v>
      </c>
      <c r="L101" s="7" t="s">
        <v>19</v>
      </c>
      <c r="M101" s="7" t="s">
        <v>18</v>
      </c>
      <c r="N101" s="2" t="s">
        <v>251</v>
      </c>
    </row>
    <row r="102" spans="1:14" x14ac:dyDescent="0.25">
      <c r="A102" s="2" t="s">
        <v>254</v>
      </c>
      <c r="B102" s="2" t="s">
        <v>255</v>
      </c>
      <c r="C102" s="2" t="s">
        <v>152</v>
      </c>
      <c r="D102" s="2" t="s">
        <v>238</v>
      </c>
      <c r="E102" s="3">
        <v>45</v>
      </c>
      <c r="F102" s="3">
        <v>90</v>
      </c>
      <c r="G102" s="4">
        <f>IF(AND(ISNUMBER(E102),ISNUMBER(F102)),F102-E102,"")</f>
        <v>45</v>
      </c>
      <c r="H102" s="5">
        <f>IF(AND(ISNUMBER(G102),N(F102)&gt;0),G102/F102,"")</f>
        <v>0.5</v>
      </c>
      <c r="I102" s="6">
        <v>300</v>
      </c>
      <c r="J102" s="4">
        <f>IF(AND(ISNUMBER(E102),ISNUMBER(I102)),E102*I102,"")</f>
        <v>13500</v>
      </c>
      <c r="K102" s="6">
        <v>7500</v>
      </c>
      <c r="L102" s="7" t="s">
        <v>19</v>
      </c>
      <c r="M102" s="7" t="s">
        <v>18</v>
      </c>
      <c r="N102" s="2" t="s">
        <v>256</v>
      </c>
    </row>
    <row r="103" spans="1:14" x14ac:dyDescent="0.25">
      <c r="A103" s="2" t="s">
        <v>257</v>
      </c>
      <c r="B103" s="2" t="s">
        <v>258</v>
      </c>
      <c r="C103" s="2" t="s">
        <v>152</v>
      </c>
      <c r="D103" s="2" t="s">
        <v>170</v>
      </c>
      <c r="E103" s="3">
        <v>4</v>
      </c>
      <c r="F103" s="3">
        <v>16</v>
      </c>
      <c r="G103" s="4">
        <f>IF(AND(ISNUMBER(E103),ISNUMBER(F103)),F103-E103,"")</f>
        <v>12</v>
      </c>
      <c r="H103" s="5">
        <f>IF(AND(ISNUMBER(G103),N(F103)&gt;0),G103/F103,"")</f>
        <v>0.75</v>
      </c>
      <c r="I103" s="6">
        <v>300</v>
      </c>
      <c r="J103" s="4">
        <f>IF(AND(ISNUMBER(E103),ISNUMBER(I103)),E103*I103,"")</f>
        <v>1200</v>
      </c>
      <c r="K103" s="6">
        <v>15000</v>
      </c>
      <c r="L103" s="7" t="s">
        <v>19</v>
      </c>
      <c r="M103" s="7" t="s">
        <v>18</v>
      </c>
      <c r="N103" s="2" t="s">
        <v>171</v>
      </c>
    </row>
    <row r="104" spans="1:14" x14ac:dyDescent="0.25">
      <c r="A104" s="2" t="s">
        <v>259</v>
      </c>
      <c r="B104" s="2" t="s">
        <v>260</v>
      </c>
      <c r="C104" s="2" t="s">
        <v>152</v>
      </c>
      <c r="D104" s="2" t="s">
        <v>170</v>
      </c>
      <c r="E104" s="3">
        <v>5</v>
      </c>
      <c r="F104" s="3">
        <v>20</v>
      </c>
      <c r="G104" s="4">
        <f>IF(AND(ISNUMBER(E104),ISNUMBER(F104)),F104-E104,"")</f>
        <v>15</v>
      </c>
      <c r="H104" s="5">
        <f>IF(AND(ISNUMBER(G104),N(F104)&gt;0),G104/F104,"")</f>
        <v>0.75</v>
      </c>
      <c r="I104" s="6">
        <v>300</v>
      </c>
      <c r="J104" s="4">
        <f>IF(AND(ISNUMBER(E104),ISNUMBER(I104)),E104*I104,"")</f>
        <v>1500</v>
      </c>
      <c r="K104" s="6">
        <v>15000</v>
      </c>
      <c r="L104" s="7" t="s">
        <v>19</v>
      </c>
      <c r="M104" s="7" t="s">
        <v>18</v>
      </c>
      <c r="N104" s="2" t="s">
        <v>261</v>
      </c>
    </row>
    <row r="105" spans="1:14" x14ac:dyDescent="0.25">
      <c r="A105" s="2" t="s">
        <v>262</v>
      </c>
      <c r="B105" s="2" t="s">
        <v>263</v>
      </c>
      <c r="C105" s="2" t="s">
        <v>152</v>
      </c>
      <c r="D105" s="2" t="s">
        <v>238</v>
      </c>
      <c r="E105" s="3">
        <v>10</v>
      </c>
      <c r="F105" s="3">
        <v>25</v>
      </c>
      <c r="G105" s="4">
        <f>IF(AND(ISNUMBER(E105),ISNUMBER(F105)),F105-E105,"")</f>
        <v>15</v>
      </c>
      <c r="H105" s="5">
        <f>IF(AND(ISNUMBER(G105),N(F105)&gt;0),G105/F105,"")</f>
        <v>0.6</v>
      </c>
      <c r="I105" s="6">
        <v>300</v>
      </c>
      <c r="J105" s="4">
        <f>IF(AND(ISNUMBER(E105),ISNUMBER(I105)),E105*I105,"")</f>
        <v>3000</v>
      </c>
      <c r="K105" s="6">
        <v>15000</v>
      </c>
      <c r="L105" s="7" t="s">
        <v>19</v>
      </c>
      <c r="M105" s="7" t="s">
        <v>18</v>
      </c>
      <c r="N105" s="2" t="s">
        <v>256</v>
      </c>
    </row>
    <row r="106" spans="1:14" x14ac:dyDescent="0.25">
      <c r="A106" s="2" t="s">
        <v>264</v>
      </c>
      <c r="B106" s="2" t="s">
        <v>265</v>
      </c>
      <c r="C106" s="2" t="s">
        <v>152</v>
      </c>
      <c r="D106" s="2" t="s">
        <v>238</v>
      </c>
      <c r="E106" s="3">
        <v>79</v>
      </c>
      <c r="F106" s="3">
        <v>159</v>
      </c>
      <c r="G106" s="4">
        <f>IF(AND(ISNUMBER(E106),ISNUMBER(F106)),F106-E106,"")</f>
        <v>80</v>
      </c>
      <c r="H106" s="5">
        <f>IF(AND(ISNUMBER(G106),N(F106)&gt;0),G106/F106,"")</f>
        <v>0.5031446540880503</v>
      </c>
      <c r="I106" s="6">
        <v>600</v>
      </c>
      <c r="J106" s="4">
        <f>IF(AND(ISNUMBER(E106),ISNUMBER(I106)),E106*I106,"")</f>
        <v>47400</v>
      </c>
      <c r="K106" s="6">
        <v>7500</v>
      </c>
      <c r="L106" s="7" t="s">
        <v>19</v>
      </c>
      <c r="M106" s="7" t="s">
        <v>18</v>
      </c>
      <c r="N106" s="2" t="s">
        <v>266</v>
      </c>
    </row>
    <row r="107" spans="1:14" x14ac:dyDescent="0.25">
      <c r="A107" s="2" t="s">
        <v>267</v>
      </c>
      <c r="B107" s="2" t="s">
        <v>268</v>
      </c>
      <c r="C107" s="2" t="s">
        <v>152</v>
      </c>
      <c r="D107" s="2" t="s">
        <v>238</v>
      </c>
      <c r="E107" s="3">
        <v>11.5</v>
      </c>
      <c r="F107" s="3">
        <v>28</v>
      </c>
      <c r="G107" s="4">
        <f>IF(AND(ISNUMBER(E107),ISNUMBER(F107)),F107-E107,"")</f>
        <v>16.5</v>
      </c>
      <c r="H107" s="5">
        <f>IF(AND(ISNUMBER(G107),N(F107)&gt;0),G107/F107,"")</f>
        <v>0.5892857142857143</v>
      </c>
      <c r="I107" s="6">
        <v>300</v>
      </c>
      <c r="J107" s="4">
        <f>IF(AND(ISNUMBER(E107),ISNUMBER(I107)),E107*I107,"")</f>
        <v>3450</v>
      </c>
      <c r="K107" s="6">
        <v>15000</v>
      </c>
      <c r="L107" s="7" t="s">
        <v>19</v>
      </c>
      <c r="M107" s="7" t="s">
        <v>18</v>
      </c>
      <c r="N107" s="2" t="s">
        <v>256</v>
      </c>
    </row>
    <row r="108" spans="1:14" x14ac:dyDescent="0.25">
      <c r="A108" s="2" t="s">
        <v>269</v>
      </c>
      <c r="B108" s="2" t="s">
        <v>270</v>
      </c>
      <c r="C108" s="2" t="s">
        <v>152</v>
      </c>
      <c r="D108" s="2" t="s">
        <v>170</v>
      </c>
      <c r="E108" s="3">
        <v>3.2</v>
      </c>
      <c r="F108" s="3">
        <v>10</v>
      </c>
      <c r="G108" s="4">
        <f>IF(AND(ISNUMBER(E108),ISNUMBER(F108)),F108-E108,"")</f>
        <v>6.8</v>
      </c>
      <c r="H108" s="5">
        <f>IF(AND(ISNUMBER(G108),N(F108)&gt;0),G108/F108,"")</f>
        <v>0.6799999999999999</v>
      </c>
      <c r="I108" s="6">
        <v>300</v>
      </c>
      <c r="J108" s="4">
        <f>IF(AND(ISNUMBER(E108),ISNUMBER(I108)),E108*I108,"")</f>
        <v>960</v>
      </c>
      <c r="K108" s="6">
        <v>15000</v>
      </c>
      <c r="L108" s="7" t="s">
        <v>19</v>
      </c>
      <c r="M108" s="7" t="s">
        <v>18</v>
      </c>
      <c r="N108" s="2" t="s">
        <v>186</v>
      </c>
    </row>
    <row r="109" spans="1:14" x14ac:dyDescent="0.25">
      <c r="A109" s="2" t="s">
        <v>271</v>
      </c>
      <c r="B109" s="2" t="s">
        <v>272</v>
      </c>
      <c r="C109" s="2" t="s">
        <v>152</v>
      </c>
      <c r="D109" s="2" t="s">
        <v>238</v>
      </c>
      <c r="E109" s="3">
        <v>2.5</v>
      </c>
      <c r="F109" s="3">
        <v>6</v>
      </c>
      <c r="G109" s="4">
        <f>IF(AND(ISNUMBER(E109),ISNUMBER(F109)),F109-E109,"")</f>
        <v>3.5</v>
      </c>
      <c r="H109" s="5">
        <f>IF(AND(ISNUMBER(G109),N(F109)&gt;0),G109/F109,"")</f>
        <v>0.5833333333333334</v>
      </c>
      <c r="I109" s="6">
        <v>450</v>
      </c>
      <c r="J109" s="4">
        <f>IF(AND(ISNUMBER(E109),ISNUMBER(I109)),E109*I109,"")</f>
        <v>1125</v>
      </c>
      <c r="K109" s="6">
        <v>15000</v>
      </c>
      <c r="L109" s="7" t="s">
        <v>19</v>
      </c>
      <c r="M109" s="7" t="s">
        <v>18</v>
      </c>
      <c r="N109" s="2" t="s">
        <v>256</v>
      </c>
    </row>
    <row r="110" spans="1:14" x14ac:dyDescent="0.25">
      <c r="A110" s="2" t="s">
        <v>273</v>
      </c>
      <c r="B110" s="2" t="s">
        <v>274</v>
      </c>
      <c r="C110" s="2" t="s">
        <v>152</v>
      </c>
      <c r="D110" s="2" t="s">
        <v>177</v>
      </c>
      <c r="E110" s="3">
        <v>8</v>
      </c>
      <c r="F110" s="3">
        <v>22</v>
      </c>
      <c r="G110" s="4">
        <f>IF(AND(ISNUMBER(E110),ISNUMBER(F110)),F110-E110,"")</f>
        <v>14</v>
      </c>
      <c r="H110" s="5">
        <f>IF(AND(ISNUMBER(G110),N(F110)&gt;0),G110/F110,"")</f>
        <v>0.6363636363636364</v>
      </c>
      <c r="I110" s="6">
        <v>500</v>
      </c>
      <c r="J110" s="4">
        <f>IF(AND(ISNUMBER(E110),ISNUMBER(I110)),E110*I110,"")</f>
        <v>4000</v>
      </c>
      <c r="K110" s="6">
        <v>25000</v>
      </c>
      <c r="L110" s="7" t="s">
        <v>19</v>
      </c>
      <c r="M110" s="7" t="s">
        <v>18</v>
      </c>
      <c r="N110" s="2" t="s">
        <v>178</v>
      </c>
    </row>
    <row r="111" spans="1:14" x14ac:dyDescent="0.25">
      <c r="A111" s="2" t="s">
        <v>275</v>
      </c>
      <c r="B111" s="2" t="s">
        <v>276</v>
      </c>
      <c r="C111" s="2" t="s">
        <v>152</v>
      </c>
      <c r="D111" s="2" t="s">
        <v>160</v>
      </c>
      <c r="E111" s="3">
        <v>0.2</v>
      </c>
      <c r="F111" s="3">
        <v>8.5</v>
      </c>
      <c r="G111" s="4">
        <f>IF(AND(ISNUMBER(E111),ISNUMBER(F111)),F111-E111,"")</f>
        <v>8.3</v>
      </c>
      <c r="H111" s="5">
        <f>IF(AND(ISNUMBER(G111),N(F111)&gt;0),G111/F111,"")</f>
        <v>0.9764705882352942</v>
      </c>
      <c r="I111" s="6">
        <v>500</v>
      </c>
      <c r="J111" s="4">
        <f>IF(AND(ISNUMBER(E111),ISNUMBER(I111)),E111*I111,"")</f>
        <v>100</v>
      </c>
      <c r="K111" s="6">
        <v>50000</v>
      </c>
      <c r="L111" s="7" t="s">
        <v>19</v>
      </c>
      <c r="M111" s="7" t="s">
        <v>18</v>
      </c>
      <c r="N111" s="2" t="s">
        <v>277</v>
      </c>
    </row>
    <row r="112" spans="1:14" x14ac:dyDescent="0.25">
      <c r="A112" s="2" t="s">
        <v>278</v>
      </c>
      <c r="B112" s="2" t="s">
        <v>279</v>
      </c>
      <c r="C112" s="2" t="s">
        <v>152</v>
      </c>
      <c r="D112" s="2" t="s">
        <v>238</v>
      </c>
      <c r="E112" s="3">
        <v>200</v>
      </c>
      <c r="F112" s="3">
        <v>349</v>
      </c>
      <c r="G112" s="4">
        <f>IF(AND(ISNUMBER(E112),ISNUMBER(F112)),F112-E112,"")</f>
        <v>149</v>
      </c>
      <c r="H112" s="5">
        <f>IF(AND(ISNUMBER(G112),N(F112)&gt;0),G112/F112,"")</f>
        <v>0.4269340974212034</v>
      </c>
      <c r="I112" s="6">
        <v>600</v>
      </c>
      <c r="J112" s="4">
        <f>IF(AND(ISNUMBER(E112),ISNUMBER(I112)),E112*I112,"")</f>
        <v>120000</v>
      </c>
      <c r="K112" s="6">
        <v>7500</v>
      </c>
      <c r="L112" s="7" t="s">
        <v>19</v>
      </c>
      <c r="M112" s="7" t="s">
        <v>18</v>
      </c>
      <c r="N112" s="2" t="s">
        <v>280</v>
      </c>
    </row>
    <row r="113" spans="1:14" x14ac:dyDescent="0.25">
      <c r="A113" s="2" t="s">
        <v>281</v>
      </c>
      <c r="B113" s="2" t="s">
        <v>282</v>
      </c>
      <c r="C113" s="2" t="s">
        <v>152</v>
      </c>
      <c r="D113" s="2" t="s">
        <v>177</v>
      </c>
      <c r="E113" s="3">
        <v>4.9</v>
      </c>
      <c r="F113" s="3">
        <v>13</v>
      </c>
      <c r="G113" s="4">
        <f>IF(AND(ISNUMBER(E113),ISNUMBER(F113)),F113-E113,"")</f>
        <v>8.1</v>
      </c>
      <c r="H113" s="5">
        <f>IF(AND(ISNUMBER(G113),N(F113)&gt;0),G113/F113,"")</f>
        <v>0.6230769230769231</v>
      </c>
      <c r="I113" s="6">
        <v>500</v>
      </c>
      <c r="J113" s="4">
        <f>IF(AND(ISNUMBER(E113),ISNUMBER(I113)),E113*I113,"")</f>
        <v>2450</v>
      </c>
      <c r="K113" s="6">
        <v>25000</v>
      </c>
      <c r="L113" s="7" t="s">
        <v>19</v>
      </c>
      <c r="M113" s="7" t="s">
        <v>18</v>
      </c>
      <c r="N113" s="2" t="s">
        <v>283</v>
      </c>
    </row>
    <row r="114" spans="1:14" x14ac:dyDescent="0.25">
      <c r="A114" s="2" t="s">
        <v>284</v>
      </c>
      <c r="B114" s="2" t="s">
        <v>285</v>
      </c>
      <c r="C114" s="2" t="s">
        <v>152</v>
      </c>
      <c r="D114" s="2" t="s">
        <v>160</v>
      </c>
      <c r="E114" s="3">
        <v>0.9</v>
      </c>
      <c r="F114" s="3">
        <v>7</v>
      </c>
      <c r="G114" s="4">
        <f>IF(AND(ISNUMBER(E114),ISNUMBER(F114)),F114-E114,"")</f>
        <v>6.1</v>
      </c>
      <c r="H114" s="5">
        <f>IF(AND(ISNUMBER(G114),N(F114)&gt;0),G114/F114,"")</f>
        <v>0.8714285714285713</v>
      </c>
      <c r="I114" s="6">
        <v>500</v>
      </c>
      <c r="J114" s="4">
        <f>IF(AND(ISNUMBER(E114),ISNUMBER(I114)),E114*I114,"")</f>
        <v>450</v>
      </c>
      <c r="K114" s="6">
        <v>50000</v>
      </c>
      <c r="L114" s="7" t="s">
        <v>19</v>
      </c>
      <c r="M114" s="7" t="s">
        <v>18</v>
      </c>
      <c r="N114" s="2" t="s">
        <v>207</v>
      </c>
    </row>
    <row r="115" spans="1:14" x14ac:dyDescent="0.25">
      <c r="A115" s="2" t="s">
        <v>286</v>
      </c>
      <c r="B115" s="2" t="s">
        <v>287</v>
      </c>
      <c r="C115" s="2" t="s">
        <v>152</v>
      </c>
      <c r="D115" s="2" t="s">
        <v>288</v>
      </c>
      <c r="E115" s="3">
        <v>0.5</v>
      </c>
      <c r="F115" s="3">
        <v>3</v>
      </c>
      <c r="G115" s="4">
        <f>IF(AND(ISNUMBER(E115),ISNUMBER(F115)),F115-E115,"")</f>
        <v>2.5</v>
      </c>
      <c r="H115" s="5">
        <f>IF(AND(ISNUMBER(G115),N(F115)&gt;0),G115/F115,"")</f>
        <v>0.8333333333333334</v>
      </c>
      <c r="I115" s="6">
        <v>500</v>
      </c>
      <c r="J115" s="4">
        <f>IF(AND(ISNUMBER(E115),ISNUMBER(I115)),E115*I115,"")</f>
        <v>250</v>
      </c>
      <c r="K115" s="6">
        <v>50000</v>
      </c>
      <c r="L115" s="7" t="s">
        <v>19</v>
      </c>
      <c r="M115" s="7" t="s">
        <v>18</v>
      </c>
      <c r="N115" s="2" t="s">
        <v>289</v>
      </c>
    </row>
    <row r="116" spans="1:14" x14ac:dyDescent="0.25">
      <c r="A116" s="2" t="s">
        <v>290</v>
      </c>
      <c r="B116" s="2" t="s">
        <v>291</v>
      </c>
      <c r="C116" s="2" t="s">
        <v>152</v>
      </c>
      <c r="D116" s="2" t="s">
        <v>238</v>
      </c>
      <c r="E116" s="3">
        <v>18</v>
      </c>
      <c r="F116" s="3">
        <v>44</v>
      </c>
      <c r="G116" s="4">
        <f>IF(AND(ISNUMBER(E116),ISNUMBER(F116)),F116-E116,"")</f>
        <v>26</v>
      </c>
      <c r="H116" s="5">
        <f>IF(AND(ISNUMBER(G116),N(F116)&gt;0),G116/F116,"")</f>
        <v>0.5909090909090909</v>
      </c>
      <c r="I116" s="6">
        <v>300</v>
      </c>
      <c r="J116" s="4">
        <f>IF(AND(ISNUMBER(E116),ISNUMBER(I116)),E116*I116,"")</f>
        <v>5400</v>
      </c>
      <c r="K116" s="6">
        <v>15000</v>
      </c>
      <c r="L116" s="7" t="s">
        <v>19</v>
      </c>
      <c r="M116" s="7" t="s">
        <v>18</v>
      </c>
      <c r="N116" s="2" t="s">
        <v>256</v>
      </c>
    </row>
    <row r="117" spans="1:14" x14ac:dyDescent="0.25">
      <c r="A117" s="2" t="s">
        <v>292</v>
      </c>
      <c r="B117" s="2" t="s">
        <v>293</v>
      </c>
      <c r="C117" s="2" t="s">
        <v>152</v>
      </c>
      <c r="D117" s="2" t="s">
        <v>238</v>
      </c>
      <c r="E117" s="3">
        <v>7</v>
      </c>
      <c r="F117" s="3">
        <v>24</v>
      </c>
      <c r="G117" s="4">
        <f>IF(AND(ISNUMBER(E117),ISNUMBER(F117)),F117-E117,"")</f>
        <v>17</v>
      </c>
      <c r="H117" s="5">
        <f>IF(AND(ISNUMBER(G117),N(F117)&gt;0),G117/F117,"")</f>
        <v>0.7083333333333334</v>
      </c>
      <c r="I117" s="6">
        <v>300</v>
      </c>
      <c r="J117" s="4">
        <f>IF(AND(ISNUMBER(E117),ISNUMBER(I117)),E117*I117,"")</f>
        <v>2100</v>
      </c>
      <c r="K117" s="6">
        <v>15000</v>
      </c>
      <c r="L117" s="7" t="s">
        <v>19</v>
      </c>
      <c r="M117" s="7" t="s">
        <v>18</v>
      </c>
      <c r="N117" s="2" t="s">
        <v>225</v>
      </c>
    </row>
    <row r="118" spans="1:14" x14ac:dyDescent="0.25">
      <c r="A118" s="2" t="s">
        <v>294</v>
      </c>
      <c r="B118" s="2" t="s">
        <v>295</v>
      </c>
      <c r="C118" s="2" t="s">
        <v>152</v>
      </c>
      <c r="D118" s="2" t="s">
        <v>170</v>
      </c>
      <c r="E118" s="3">
        <v>8</v>
      </c>
      <c r="F118" s="3">
        <v>26</v>
      </c>
      <c r="G118" s="4">
        <f>IF(AND(ISNUMBER(E118),ISNUMBER(F118)),F118-E118,"")</f>
        <v>18</v>
      </c>
      <c r="H118" s="5">
        <f>IF(AND(ISNUMBER(G118),N(F118)&gt;0),G118/F118,"")</f>
        <v>0.6923076923076923</v>
      </c>
      <c r="I118" s="6">
        <v>300</v>
      </c>
      <c r="J118" s="4">
        <f>IF(AND(ISNUMBER(E118),ISNUMBER(I118)),E118*I118,"")</f>
        <v>2400</v>
      </c>
      <c r="K118" s="6">
        <v>15000</v>
      </c>
      <c r="L118" s="7" t="s">
        <v>19</v>
      </c>
      <c r="M118" s="7" t="s">
        <v>18</v>
      </c>
      <c r="N118" s="2" t="s">
        <v>261</v>
      </c>
    </row>
    <row r="119" spans="1:14" x14ac:dyDescent="0.25">
      <c r="A119" s="2" t="s">
        <v>296</v>
      </c>
      <c r="B119" s="2" t="s">
        <v>297</v>
      </c>
      <c r="C119" s="2" t="s">
        <v>152</v>
      </c>
      <c r="D119" s="2" t="s">
        <v>238</v>
      </c>
      <c r="E119" s="3">
        <v>5.5</v>
      </c>
      <c r="F119" s="3">
        <v>14</v>
      </c>
      <c r="G119" s="4">
        <f>IF(AND(ISNUMBER(E119),ISNUMBER(F119)),F119-E119,"")</f>
        <v>8.5</v>
      </c>
      <c r="H119" s="5">
        <f>IF(AND(ISNUMBER(G119),N(F119)&gt;0),G119/F119,"")</f>
        <v>0.6071428571428571</v>
      </c>
      <c r="I119" s="6">
        <v>450</v>
      </c>
      <c r="J119" s="4">
        <f>IF(AND(ISNUMBER(E119),ISNUMBER(I119)),E119*I119,"")</f>
        <v>2475</v>
      </c>
      <c r="K119" s="6">
        <v>15000</v>
      </c>
      <c r="L119" s="7" t="s">
        <v>19</v>
      </c>
      <c r="M119" s="7" t="s">
        <v>18</v>
      </c>
      <c r="N119" s="2" t="s">
        <v>256</v>
      </c>
    </row>
    <row r="120" spans="1:14" x14ac:dyDescent="0.25">
      <c r="A120" s="2" t="s">
        <v>298</v>
      </c>
      <c r="B120" s="2" t="s">
        <v>299</v>
      </c>
      <c r="C120" s="2" t="s">
        <v>152</v>
      </c>
      <c r="D120" s="2" t="s">
        <v>153</v>
      </c>
      <c r="E120" s="3">
        <v>450</v>
      </c>
      <c r="F120" s="3">
        <v>999</v>
      </c>
      <c r="G120" s="4">
        <f>IF(AND(ISNUMBER(E120),ISNUMBER(F120)),F120-E120,"")</f>
        <v>549</v>
      </c>
      <c r="H120" s="5">
        <f>IF(AND(ISNUMBER(G120),N(F120)&gt;0),G120/F120,"")</f>
        <v>0.5495495495495496</v>
      </c>
      <c r="I120" s="6">
        <v>300</v>
      </c>
      <c r="J120" s="4">
        <f>IF(AND(ISNUMBER(E120),ISNUMBER(I120)),E120*I120,"")</f>
        <v>135000</v>
      </c>
      <c r="K120" s="6">
        <v>7500</v>
      </c>
      <c r="L120" s="7" t="s">
        <v>19</v>
      </c>
      <c r="M120" s="7" t="s">
        <v>18</v>
      </c>
      <c r="N120" s="2" t="s">
        <v>154</v>
      </c>
    </row>
    <row r="121" spans="1:14" x14ac:dyDescent="0.25">
      <c r="A121" s="2" t="s">
        <v>300</v>
      </c>
      <c r="B121" s="2" t="s">
        <v>301</v>
      </c>
      <c r="C121" s="2" t="s">
        <v>152</v>
      </c>
      <c r="D121" s="2" t="s">
        <v>153</v>
      </c>
      <c r="E121" s="3">
        <v>250</v>
      </c>
      <c r="F121" s="3">
        <v>399</v>
      </c>
      <c r="G121" s="4">
        <f>IF(AND(ISNUMBER(E121),ISNUMBER(F121)),F121-E121,"")</f>
        <v>149</v>
      </c>
      <c r="H121" s="5">
        <f>IF(AND(ISNUMBER(G121),N(F121)&gt;0),G121/F121,"")</f>
        <v>0.37343358395989973</v>
      </c>
      <c r="I121" s="6">
        <v>300</v>
      </c>
      <c r="J121" s="4">
        <f>IF(AND(ISNUMBER(E121),ISNUMBER(I121)),E121*I121,"")</f>
        <v>75000</v>
      </c>
      <c r="K121" s="6">
        <v>7500</v>
      </c>
      <c r="L121" s="7" t="s">
        <v>19</v>
      </c>
      <c r="M121" s="7" t="s">
        <v>18</v>
      </c>
      <c r="N121" s="2" t="s">
        <v>157</v>
      </c>
    </row>
    <row r="122" spans="1:14" x14ac:dyDescent="0.25">
      <c r="A122" s="2" t="s">
        <v>302</v>
      </c>
      <c r="B122" s="2" t="s">
        <v>303</v>
      </c>
      <c r="C122" s="2" t="s">
        <v>304</v>
      </c>
      <c r="D122" s="2" t="s">
        <v>305</v>
      </c>
      <c r="E122" s="3"/>
      <c r="F122" s="3">
        <v>16</v>
      </c>
      <c r="G122" s="4" t="str">
        <f>IF(AND(ISNUMBER(E122),ISNUMBER(F122)),F122-E122,"")</f>
        <v/>
      </c>
      <c r="H122" s="5" t="str">
        <f>IF(AND(ISNUMBER(G122),N(F122)&gt;0),G122/F122,"")</f>
        <v/>
      </c>
      <c r="I122" s="6"/>
      <c r="J122" s="4" t="str">
        <f>IF(AND(ISNUMBER(E122),ISNUMBER(I122)),E122*I122,"")</f>
        <v/>
      </c>
      <c r="K122" s="6"/>
      <c r="L122" s="7" t="s">
        <v>18</v>
      </c>
      <c r="M122" s="7" t="s">
        <v>18</v>
      </c>
      <c r="N122" s="2" t="s">
        <v>207</v>
      </c>
    </row>
    <row r="123" spans="1:14" x14ac:dyDescent="0.25">
      <c r="A123" s="2" t="s">
        <v>306</v>
      </c>
      <c r="B123" s="2" t="s">
        <v>307</v>
      </c>
      <c r="C123" s="2" t="s">
        <v>304</v>
      </c>
      <c r="D123" s="2" t="s">
        <v>305</v>
      </c>
      <c r="E123" s="3"/>
      <c r="F123" s="3">
        <v>5</v>
      </c>
      <c r="G123" s="4" t="str">
        <f>IF(AND(ISNUMBER(E123),ISNUMBER(F123)),F123-E123,"")</f>
        <v/>
      </c>
      <c r="H123" s="5" t="str">
        <f>IF(AND(ISNUMBER(G123),N(F123)&gt;0),G123/F123,"")</f>
        <v/>
      </c>
      <c r="I123" s="6"/>
      <c r="J123" s="4" t="str">
        <f>IF(AND(ISNUMBER(E123),ISNUMBER(I123)),E123*I123,"")</f>
        <v/>
      </c>
      <c r="K123" s="6"/>
      <c r="L123" s="7" t="s">
        <v>18</v>
      </c>
      <c r="M123" s="7" t="s">
        <v>18</v>
      </c>
      <c r="N123" s="2" t="s">
        <v>308</v>
      </c>
    </row>
    <row r="124" spans="1:14" x14ac:dyDescent="0.25">
      <c r="A124" s="2" t="s">
        <v>309</v>
      </c>
      <c r="B124" s="2" t="s">
        <v>310</v>
      </c>
      <c r="C124" s="2" t="s">
        <v>304</v>
      </c>
      <c r="D124" s="2" t="s">
        <v>305</v>
      </c>
      <c r="E124" s="3"/>
      <c r="F124" s="3">
        <v>150</v>
      </c>
      <c r="G124" s="4" t="str">
        <f>IF(AND(ISNUMBER(E124),ISNUMBER(F124)),F124-E124,"")</f>
        <v/>
      </c>
      <c r="H124" s="5" t="str">
        <f>IF(AND(ISNUMBER(G124),N(F124)&gt;0),G124/F124,"")</f>
        <v/>
      </c>
      <c r="I124" s="6"/>
      <c r="J124" s="4" t="str">
        <f>IF(AND(ISNUMBER(E124),ISNUMBER(I124)),E124*I124,"")</f>
        <v/>
      </c>
      <c r="K124" s="6"/>
      <c r="L124" s="7" t="s">
        <v>18</v>
      </c>
      <c r="M124" s="7" t="s">
        <v>18</v>
      </c>
      <c r="N124" s="2" t="s">
        <v>311</v>
      </c>
    </row>
    <row r="125" spans="1:14" x14ac:dyDescent="0.25">
      <c r="A125" s="2" t="s">
        <v>312</v>
      </c>
      <c r="B125" s="2" t="s">
        <v>313</v>
      </c>
      <c r="C125" s="2" t="s">
        <v>304</v>
      </c>
      <c r="D125" s="2" t="s">
        <v>305</v>
      </c>
      <c r="E125" s="3"/>
      <c r="F125" s="3">
        <v>160</v>
      </c>
      <c r="G125" s="4" t="str">
        <f>IF(AND(ISNUMBER(E125),ISNUMBER(F125)),F125-E125,"")</f>
        <v/>
      </c>
      <c r="H125" s="5" t="str">
        <f>IF(AND(ISNUMBER(G125),N(F125)&gt;0),G125/F125,"")</f>
        <v/>
      </c>
      <c r="I125" s="6"/>
      <c r="J125" s="4" t="str">
        <f>IF(AND(ISNUMBER(E125),ISNUMBER(I125)),E125*I125,"")</f>
        <v/>
      </c>
      <c r="K125" s="6"/>
      <c r="L125" s="7" t="s">
        <v>18</v>
      </c>
      <c r="M125" s="7" t="s">
        <v>18</v>
      </c>
      <c r="N125" s="2" t="s">
        <v>314</v>
      </c>
    </row>
    <row r="126" spans="1:14" x14ac:dyDescent="0.25">
      <c r="A126" s="2" t="s">
        <v>315</v>
      </c>
      <c r="B126" s="2" t="s">
        <v>316</v>
      </c>
      <c r="C126" s="2" t="s">
        <v>304</v>
      </c>
      <c r="D126" s="2" t="s">
        <v>305</v>
      </c>
      <c r="E126" s="3"/>
      <c r="F126" s="3">
        <v>20</v>
      </c>
      <c r="G126" s="4" t="str">
        <f>IF(AND(ISNUMBER(E126),ISNUMBER(F126)),F126-E126,"")</f>
        <v/>
      </c>
      <c r="H126" s="5" t="str">
        <f>IF(AND(ISNUMBER(G126),N(F126)&gt;0),G126/F126,"")</f>
        <v/>
      </c>
      <c r="I126" s="6"/>
      <c r="J126" s="4" t="str">
        <f>IF(AND(ISNUMBER(E126),ISNUMBER(I126)),E126*I126,"")</f>
        <v/>
      </c>
      <c r="K126" s="6"/>
      <c r="L126" s="7" t="s">
        <v>18</v>
      </c>
      <c r="M126" s="7" t="s">
        <v>18</v>
      </c>
      <c r="N126" s="2" t="s">
        <v>317</v>
      </c>
    </row>
    <row r="127" spans="1:14" x14ac:dyDescent="0.25">
      <c r="A127" s="2" t="s">
        <v>318</v>
      </c>
      <c r="B127" s="2" t="s">
        <v>319</v>
      </c>
      <c r="C127" s="2" t="s">
        <v>304</v>
      </c>
      <c r="D127" s="2" t="s">
        <v>305</v>
      </c>
      <c r="E127" s="3"/>
      <c r="F127" s="3">
        <v>150</v>
      </c>
      <c r="G127" s="4" t="str">
        <f>IF(AND(ISNUMBER(E127),ISNUMBER(F127)),F127-E127,"")</f>
        <v/>
      </c>
      <c r="H127" s="5" t="str">
        <f>IF(AND(ISNUMBER(G127),N(F127)&gt;0),G127/F127,"")</f>
        <v/>
      </c>
      <c r="I127" s="6"/>
      <c r="J127" s="4" t="str">
        <f>IF(AND(ISNUMBER(E127),ISNUMBER(I127)),E127*I127,"")</f>
        <v/>
      </c>
      <c r="K127" s="6"/>
      <c r="L127" s="7" t="s">
        <v>18</v>
      </c>
      <c r="M127" s="7" t="s">
        <v>18</v>
      </c>
      <c r="N127" s="2" t="s">
        <v>243</v>
      </c>
    </row>
    <row r="128" spans="1:14" x14ac:dyDescent="0.25">
      <c r="A128" s="2" t="s">
        <v>320</v>
      </c>
      <c r="B128" s="2" t="s">
        <v>321</v>
      </c>
      <c r="C128" s="2" t="s">
        <v>304</v>
      </c>
      <c r="D128" s="2" t="s">
        <v>305</v>
      </c>
      <c r="E128" s="3"/>
      <c r="F128" s="3">
        <v>80</v>
      </c>
      <c r="G128" s="4" t="str">
        <f>IF(AND(ISNUMBER(E128),ISNUMBER(F128)),F128-E128,"")</f>
        <v/>
      </c>
      <c r="H128" s="5" t="str">
        <f>IF(AND(ISNUMBER(G128),N(F128)&gt;0),G128/F128,"")</f>
        <v/>
      </c>
      <c r="I128" s="6"/>
      <c r="J128" s="4" t="str">
        <f>IF(AND(ISNUMBER(E128),ISNUMBER(I128)),E128*I128,"")</f>
        <v/>
      </c>
      <c r="K128" s="6"/>
      <c r="L128" s="7" t="s">
        <v>18</v>
      </c>
      <c r="M128" s="7" t="s">
        <v>18</v>
      </c>
      <c r="N128" s="2" t="s">
        <v>243</v>
      </c>
    </row>
    <row r="129" spans="1:14" x14ac:dyDescent="0.25">
      <c r="A129" s="2" t="s">
        <v>322</v>
      </c>
      <c r="B129" s="2" t="s">
        <v>323</v>
      </c>
      <c r="C129" s="2" t="s">
        <v>304</v>
      </c>
      <c r="D129" s="2" t="s">
        <v>305</v>
      </c>
      <c r="E129" s="3"/>
      <c r="F129" s="3">
        <v>60</v>
      </c>
      <c r="G129" s="4" t="str">
        <f>IF(AND(ISNUMBER(E129),ISNUMBER(F129)),F129-E129,"")</f>
        <v/>
      </c>
      <c r="H129" s="5" t="str">
        <f>IF(AND(ISNUMBER(G129),N(F129)&gt;0),G129/F129,"")</f>
        <v/>
      </c>
      <c r="I129" s="6"/>
      <c r="J129" s="4" t="str">
        <f>IF(AND(ISNUMBER(E129),ISNUMBER(I129)),E129*I129,"")</f>
        <v/>
      </c>
      <c r="K129" s="6"/>
      <c r="L129" s="7" t="s">
        <v>18</v>
      </c>
      <c r="M129" s="7" t="s">
        <v>18</v>
      </c>
      <c r="N129" s="2" t="s">
        <v>243</v>
      </c>
    </row>
    <row r="130" spans="1:14" x14ac:dyDescent="0.25">
      <c r="A130" s="2" t="s">
        <v>324</v>
      </c>
      <c r="B130" s="2" t="s">
        <v>325</v>
      </c>
      <c r="C130" s="2" t="s">
        <v>304</v>
      </c>
      <c r="D130" s="2" t="s">
        <v>305</v>
      </c>
      <c r="E130" s="3"/>
      <c r="F130" s="3">
        <v>105</v>
      </c>
      <c r="G130" s="4" t="str">
        <f>IF(AND(ISNUMBER(E130),ISNUMBER(F130)),F130-E130,"")</f>
        <v/>
      </c>
      <c r="H130" s="5" t="str">
        <f>IF(AND(ISNUMBER(G130),N(F130)&gt;0),G130/F130,"")</f>
        <v/>
      </c>
      <c r="I130" s="6"/>
      <c r="J130" s="4" t="str">
        <f>IF(AND(ISNUMBER(E130),ISNUMBER(I130)),E130*I130,"")</f>
        <v/>
      </c>
      <c r="K130" s="6"/>
      <c r="L130" s="7" t="s">
        <v>18</v>
      </c>
      <c r="M130" s="7" t="s">
        <v>18</v>
      </c>
      <c r="N130" s="2" t="s">
        <v>243</v>
      </c>
    </row>
    <row r="131" spans="1:14" x14ac:dyDescent="0.25">
      <c r="A131" s="2" t="s">
        <v>326</v>
      </c>
      <c r="B131" s="2" t="s">
        <v>327</v>
      </c>
      <c r="C131" s="2" t="s">
        <v>304</v>
      </c>
      <c r="D131" s="2" t="s">
        <v>305</v>
      </c>
      <c r="E131" s="3"/>
      <c r="F131" s="3">
        <v>225</v>
      </c>
      <c r="G131" s="4" t="str">
        <f>IF(AND(ISNUMBER(E131),ISNUMBER(F131)),F131-E131,"")</f>
        <v/>
      </c>
      <c r="H131" s="5" t="str">
        <f>IF(AND(ISNUMBER(G131),N(F131)&gt;0),G131/F131,"")</f>
        <v/>
      </c>
      <c r="I131" s="6"/>
      <c r="J131" s="4" t="str">
        <f>IF(AND(ISNUMBER(E131),ISNUMBER(I131)),E131*I131,"")</f>
        <v/>
      </c>
      <c r="K131" s="6"/>
      <c r="L131" s="7" t="s">
        <v>18</v>
      </c>
      <c r="M131" s="7" t="s">
        <v>18</v>
      </c>
      <c r="N131" s="2" t="s">
        <v>328</v>
      </c>
    </row>
    <row r="132" spans="1:14" x14ac:dyDescent="0.25">
      <c r="A132" s="2" t="s">
        <v>329</v>
      </c>
      <c r="B132" s="2" t="s">
        <v>330</v>
      </c>
      <c r="C132" s="2" t="s">
        <v>304</v>
      </c>
      <c r="D132" s="2" t="s">
        <v>305</v>
      </c>
      <c r="E132" s="3"/>
      <c r="F132" s="3">
        <v>15</v>
      </c>
      <c r="G132" s="4" t="str">
        <f>IF(AND(ISNUMBER(E132),ISNUMBER(F132)),F132-E132,"")</f>
        <v/>
      </c>
      <c r="H132" s="5" t="str">
        <f>IF(AND(ISNUMBER(G132),N(F132)&gt;0),G132/F132,"")</f>
        <v/>
      </c>
      <c r="I132" s="6"/>
      <c r="J132" s="4" t="str">
        <f>IF(AND(ISNUMBER(E132),ISNUMBER(I132)),E132*I132,"")</f>
        <v/>
      </c>
      <c r="K132" s="6"/>
      <c r="L132" s="7" t="s">
        <v>18</v>
      </c>
      <c r="M132" s="7" t="s">
        <v>18</v>
      </c>
      <c r="N132" s="2" t="s">
        <v>308</v>
      </c>
    </row>
    <row r="133" spans="1:14" x14ac:dyDescent="0.25">
      <c r="A133" s="2" t="s">
        <v>331</v>
      </c>
      <c r="B133" s="2" t="s">
        <v>332</v>
      </c>
      <c r="C133" s="2" t="s">
        <v>304</v>
      </c>
      <c r="D133" s="2" t="s">
        <v>305</v>
      </c>
      <c r="E133" s="3"/>
      <c r="F133" s="3">
        <v>30</v>
      </c>
      <c r="G133" s="4" t="str">
        <f>IF(AND(ISNUMBER(E133),ISNUMBER(F133)),F133-E133,"")</f>
        <v/>
      </c>
      <c r="H133" s="5" t="str">
        <f>IF(AND(ISNUMBER(G133),N(F133)&gt;0),G133/F133,"")</f>
        <v/>
      </c>
      <c r="I133" s="6"/>
      <c r="J133" s="4" t="str">
        <f>IF(AND(ISNUMBER(E133),ISNUMBER(I133)),E133*I133,"")</f>
        <v/>
      </c>
      <c r="K133" s="6"/>
      <c r="L133" s="7" t="s">
        <v>18</v>
      </c>
      <c r="M133" s="7" t="s">
        <v>18</v>
      </c>
      <c r="N133" s="2" t="s">
        <v>308</v>
      </c>
    </row>
    <row r="134" spans="1:14" x14ac:dyDescent="0.25">
      <c r="A134" s="2" t="s">
        <v>333</v>
      </c>
      <c r="B134" s="2" t="s">
        <v>334</v>
      </c>
      <c r="C134" s="2" t="s">
        <v>304</v>
      </c>
      <c r="D134" s="2" t="s">
        <v>305</v>
      </c>
      <c r="E134" s="3"/>
      <c r="F134" s="3">
        <v>165</v>
      </c>
      <c r="G134" s="4" t="str">
        <f>IF(AND(ISNUMBER(E134),ISNUMBER(F134)),F134-E134,"")</f>
        <v/>
      </c>
      <c r="H134" s="5" t="str">
        <f>IF(AND(ISNUMBER(G134),N(F134)&gt;0),G134/F134,"")</f>
        <v/>
      </c>
      <c r="I134" s="6"/>
      <c r="J134" s="4" t="str">
        <f>IF(AND(ISNUMBER(E134),ISNUMBER(I134)),E134*I134,"")</f>
        <v/>
      </c>
      <c r="K134" s="6"/>
      <c r="L134" s="7" t="s">
        <v>18</v>
      </c>
      <c r="M134" s="7" t="s">
        <v>18</v>
      </c>
      <c r="N134" s="2" t="s">
        <v>335</v>
      </c>
    </row>
    <row r="135" spans="1:14" x14ac:dyDescent="0.25">
      <c r="A135" s="2" t="s">
        <v>336</v>
      </c>
      <c r="B135" s="2" t="s">
        <v>337</v>
      </c>
      <c r="C135" s="2" t="s">
        <v>304</v>
      </c>
      <c r="D135" s="2" t="s">
        <v>305</v>
      </c>
      <c r="E135" s="3"/>
      <c r="F135" s="3">
        <v>85</v>
      </c>
      <c r="G135" s="4" t="str">
        <f>IF(AND(ISNUMBER(E135),ISNUMBER(F135)),F135-E135,"")</f>
        <v/>
      </c>
      <c r="H135" s="5" t="str">
        <f>IF(AND(ISNUMBER(G135),N(F135)&gt;0),G135/F135,"")</f>
        <v/>
      </c>
      <c r="I135" s="6"/>
      <c r="J135" s="4" t="str">
        <f>IF(AND(ISNUMBER(E135),ISNUMBER(I135)),E135*I135,"")</f>
        <v/>
      </c>
      <c r="K135" s="6"/>
      <c r="L135" s="7" t="s">
        <v>18</v>
      </c>
      <c r="M135" s="7" t="s">
        <v>18</v>
      </c>
      <c r="N135" s="2" t="s">
        <v>181</v>
      </c>
    </row>
    <row r="136" spans="1:14" x14ac:dyDescent="0.25">
      <c r="A136" s="2" t="s">
        <v>338</v>
      </c>
      <c r="B136" s="2" t="s">
        <v>339</v>
      </c>
      <c r="C136" s="2" t="s">
        <v>304</v>
      </c>
      <c r="D136" s="2" t="s">
        <v>305</v>
      </c>
      <c r="E136" s="3"/>
      <c r="F136" s="3">
        <v>145</v>
      </c>
      <c r="G136" s="4" t="str">
        <f>IF(AND(ISNUMBER(E136),ISNUMBER(F136)),F136-E136,"")</f>
        <v/>
      </c>
      <c r="H136" s="5" t="str">
        <f>IF(AND(ISNUMBER(G136),N(F136)&gt;0),G136/F136,"")</f>
        <v/>
      </c>
      <c r="I136" s="6"/>
      <c r="J136" s="4" t="str">
        <f>IF(AND(ISNUMBER(E136),ISNUMBER(I136)),E136*I136,"")</f>
        <v/>
      </c>
      <c r="K136" s="6"/>
      <c r="L136" s="7" t="s">
        <v>18</v>
      </c>
      <c r="M136" s="7" t="s">
        <v>18</v>
      </c>
      <c r="N136" s="2" t="s">
        <v>340</v>
      </c>
    </row>
    <row r="137" spans="1:14" x14ac:dyDescent="0.25">
      <c r="A137" s="2" t="s">
        <v>341</v>
      </c>
      <c r="B137" s="2" t="s">
        <v>342</v>
      </c>
      <c r="C137" s="2" t="s">
        <v>343</v>
      </c>
      <c r="D137" s="2" t="s">
        <v>288</v>
      </c>
      <c r="E137" s="3">
        <v>0.16</v>
      </c>
      <c r="F137" s="3"/>
      <c r="G137" s="4" t="str">
        <f>IF(AND(ISNUMBER(E137),ISNUMBER(F137)),F137-E137,"")</f>
        <v/>
      </c>
      <c r="H137" s="5" t="str">
        <f>IF(AND(ISNUMBER(G137),N(F137)&gt;0),G137/F137,"")</f>
        <v/>
      </c>
      <c r="I137" s="6">
        <v>1000</v>
      </c>
      <c r="J137" s="4">
        <f>IF(AND(ISNUMBER(E137),ISNUMBER(I137)),E137*I137,"")</f>
        <v>160</v>
      </c>
      <c r="K137" s="6">
        <v>5000</v>
      </c>
      <c r="L137" s="7" t="s">
        <v>19</v>
      </c>
      <c r="M137" s="7" t="s">
        <v>18</v>
      </c>
      <c r="N137" s="2" t="s">
        <v>20</v>
      </c>
    </row>
    <row r="138" spans="1:14" x14ac:dyDescent="0.25">
      <c r="A138" s="2" t="s">
        <v>344</v>
      </c>
      <c r="B138" s="2" t="s">
        <v>345</v>
      </c>
      <c r="C138" s="2" t="s">
        <v>343</v>
      </c>
      <c r="D138" s="2" t="s">
        <v>346</v>
      </c>
      <c r="E138" s="3"/>
      <c r="F138" s="3"/>
      <c r="G138" s="4" t="str">
        <f>IF(AND(ISNUMBER(E138),ISNUMBER(F138)),F138-E138,"")</f>
        <v/>
      </c>
      <c r="H138" s="5" t="str">
        <f>IF(AND(ISNUMBER(G138),N(F138)&gt;0),G138/F138,"")</f>
        <v/>
      </c>
      <c r="I138" s="6">
        <v>300</v>
      </c>
      <c r="J138" s="4" t="str">
        <f>IF(AND(ISNUMBER(E138),ISNUMBER(I138)),E138*I138,"")</f>
        <v/>
      </c>
      <c r="K138" s="6"/>
      <c r="L138" s="7" t="s">
        <v>18</v>
      </c>
      <c r="M138" s="7" t="s">
        <v>18</v>
      </c>
      <c r="N138" s="2" t="s">
        <v>20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H1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34" customWidth="1"/>
    <col min="4" max="4" width="30" customWidth="1"/>
    <col min="5" max="6" width="13" customWidth="1"/>
    <col min="7" max="7" width="10" customWidth="1"/>
    <col min="8" max="8" width="11" customWidth="1"/>
  </cols>
  <sheetData>
    <row r="1" ht="30" customHeight="1" spans="1:8" x14ac:dyDescent="0.25">
      <c r="A1" s="1" t="s">
        <v>347</v>
      </c>
      <c r="B1" s="1" t="s">
        <v>348</v>
      </c>
      <c r="C1" s="1" t="s">
        <v>0</v>
      </c>
      <c r="D1" s="1" t="s">
        <v>349</v>
      </c>
      <c r="E1" s="1" t="s">
        <v>4</v>
      </c>
      <c r="F1" s="1" t="s">
        <v>5</v>
      </c>
      <c r="G1" s="1" t="s">
        <v>8</v>
      </c>
      <c r="H1" s="1" t="s">
        <v>350</v>
      </c>
    </row>
    <row r="2" spans="1:8" x14ac:dyDescent="0.25">
      <c r="A2" s="2" t="s">
        <v>23</v>
      </c>
      <c r="B2" s="2" t="s">
        <v>351</v>
      </c>
      <c r="C2" s="2" t="s">
        <v>21</v>
      </c>
      <c r="D2" s="2" t="s">
        <v>352</v>
      </c>
      <c r="E2" s="8">
        <f>IFERROR(INDEX(Items!$E$2:$E$138,MATCH(C2,Items!$A$2:$A$138,0)),"")</f>
        <v>0.24</v>
      </c>
      <c r="F2" s="8" t="str">
        <f>IFERROR(INDEX(Items!$F$2:$F$138,MATCH(C2,Items!$A$2:$A$138,0)),"")</f>
        <v/>
      </c>
      <c r="G2" s="9">
        <f>IFERROR(INDEX(Items!$I$2:$I$138,MATCH(C2,Items!$A$2:$A$138,0)),"")</f>
        <v>500</v>
      </c>
      <c r="H2" s="7" t="s">
        <v>18</v>
      </c>
    </row>
    <row r="3" spans="1:8" x14ac:dyDescent="0.25">
      <c r="A3" s="2" t="s">
        <v>23</v>
      </c>
      <c r="B3" s="2" t="s">
        <v>351</v>
      </c>
      <c r="C3" s="2" t="s">
        <v>27</v>
      </c>
      <c r="D3" s="2" t="s">
        <v>352</v>
      </c>
      <c r="E3" s="8">
        <f>IFERROR(INDEX(Items!$E$2:$E$138,MATCH(C3,Items!$A$2:$A$138,0)),"")</f>
        <v>0.12</v>
      </c>
      <c r="F3" s="8" t="str">
        <f>IFERROR(INDEX(Items!$F$2:$F$138,MATCH(C3,Items!$A$2:$A$138,0)),"")</f>
        <v/>
      </c>
      <c r="G3" s="9">
        <f>IFERROR(INDEX(Items!$I$2:$I$138,MATCH(C3,Items!$A$2:$A$138,0)),"")</f>
        <v>500</v>
      </c>
      <c r="H3" s="7" t="s">
        <v>18</v>
      </c>
    </row>
    <row r="4" spans="1:8" x14ac:dyDescent="0.25">
      <c r="A4" s="2" t="s">
        <v>23</v>
      </c>
      <c r="B4" s="2" t="s">
        <v>351</v>
      </c>
      <c r="C4" s="2" t="s">
        <v>31</v>
      </c>
      <c r="D4" s="2" t="s">
        <v>352</v>
      </c>
      <c r="E4" s="8">
        <f>IFERROR(INDEX(Items!$E$2:$E$138,MATCH(C4,Items!$A$2:$A$138,0)),"")</f>
        <v>0.1</v>
      </c>
      <c r="F4" s="8" t="str">
        <f>IFERROR(INDEX(Items!$F$2:$F$138,MATCH(C4,Items!$A$2:$A$138,0)),"")</f>
        <v/>
      </c>
      <c r="G4" s="9">
        <f>IFERROR(INDEX(Items!$I$2:$I$138,MATCH(C4,Items!$A$2:$A$138,0)),"")</f>
        <v>500</v>
      </c>
      <c r="H4" s="7" t="s">
        <v>18</v>
      </c>
    </row>
    <row r="5" spans="1:8" x14ac:dyDescent="0.25">
      <c r="A5" s="2" t="s">
        <v>23</v>
      </c>
      <c r="B5" s="2" t="s">
        <v>351</v>
      </c>
      <c r="C5" s="2" t="s">
        <v>35</v>
      </c>
      <c r="D5" s="2" t="s">
        <v>352</v>
      </c>
      <c r="E5" s="8">
        <f>IFERROR(INDEX(Items!$E$2:$E$138,MATCH(C5,Items!$A$2:$A$138,0)),"")</f>
        <v>0.01</v>
      </c>
      <c r="F5" s="8" t="str">
        <f>IFERROR(INDEX(Items!$F$2:$F$138,MATCH(C5,Items!$A$2:$A$138,0)),"")</f>
        <v/>
      </c>
      <c r="G5" s="9">
        <f>IFERROR(INDEX(Items!$I$2:$I$138,MATCH(C5,Items!$A$2:$A$138,0)),"")</f>
        <v>500</v>
      </c>
      <c r="H5" s="7" t="s">
        <v>18</v>
      </c>
    </row>
    <row r="6" spans="1:8" x14ac:dyDescent="0.25">
      <c r="A6" s="2" t="s">
        <v>23</v>
      </c>
      <c r="B6" s="2" t="s">
        <v>351</v>
      </c>
      <c r="C6" s="2" t="s">
        <v>48</v>
      </c>
      <c r="D6" s="2" t="s">
        <v>352</v>
      </c>
      <c r="E6" s="8">
        <f>IFERROR(INDEX(Items!$E$2:$E$138,MATCH(C6,Items!$A$2:$A$138,0)),"")</f>
        <v>0.02</v>
      </c>
      <c r="F6" s="8" t="str">
        <f>IFERROR(INDEX(Items!$F$2:$F$138,MATCH(C6,Items!$A$2:$A$138,0)),"")</f>
        <v/>
      </c>
      <c r="G6" s="9">
        <f>IFERROR(INDEX(Items!$I$2:$I$138,MATCH(C6,Items!$A$2:$A$138,0)),"")</f>
        <v>500</v>
      </c>
      <c r="H6" s="7" t="s">
        <v>18</v>
      </c>
    </row>
    <row r="7" spans="1:8" x14ac:dyDescent="0.25">
      <c r="A7" s="2" t="s">
        <v>23</v>
      </c>
      <c r="B7" s="2" t="s">
        <v>351</v>
      </c>
      <c r="C7" s="2" t="s">
        <v>58</v>
      </c>
      <c r="D7" s="2" t="s">
        <v>352</v>
      </c>
      <c r="E7" s="8">
        <f>IFERROR(INDEX(Items!$E$2:$E$138,MATCH(C7,Items!$A$2:$A$138,0)),"")</f>
        <v>0.04</v>
      </c>
      <c r="F7" s="8" t="str">
        <f>IFERROR(INDEX(Items!$F$2:$F$138,MATCH(C7,Items!$A$2:$A$138,0)),"")</f>
        <v/>
      </c>
      <c r="G7" s="9">
        <f>IFERROR(INDEX(Items!$I$2:$I$138,MATCH(C7,Items!$A$2:$A$138,0)),"")</f>
        <v>500</v>
      </c>
      <c r="H7" s="7" t="s">
        <v>18</v>
      </c>
    </row>
    <row r="8" spans="1:8" x14ac:dyDescent="0.25">
      <c r="A8" s="2" t="s">
        <v>23</v>
      </c>
      <c r="B8" s="2" t="s">
        <v>351</v>
      </c>
      <c r="C8" s="2" t="s">
        <v>63</v>
      </c>
      <c r="D8" s="2" t="s">
        <v>352</v>
      </c>
      <c r="E8" s="8">
        <f>IFERROR(INDEX(Items!$E$2:$E$138,MATCH(C8,Items!$A$2:$A$138,0)),"")</f>
        <v>0.35</v>
      </c>
      <c r="F8" s="8" t="str">
        <f>IFERROR(INDEX(Items!$F$2:$F$138,MATCH(C8,Items!$A$2:$A$138,0)),"")</f>
        <v/>
      </c>
      <c r="G8" s="9">
        <f>IFERROR(INDEX(Items!$I$2:$I$138,MATCH(C8,Items!$A$2:$A$138,0)),"")</f>
        <v>500</v>
      </c>
      <c r="H8" s="7" t="s">
        <v>18</v>
      </c>
    </row>
    <row r="9" spans="1:8" x14ac:dyDescent="0.25">
      <c r="A9" s="2" t="s">
        <v>23</v>
      </c>
      <c r="B9" s="2" t="s">
        <v>351</v>
      </c>
      <c r="C9" s="2" t="s">
        <v>67</v>
      </c>
      <c r="D9" s="2" t="s">
        <v>352</v>
      </c>
      <c r="E9" s="8">
        <f>IFERROR(INDEX(Items!$E$2:$E$138,MATCH(C9,Items!$A$2:$A$138,0)),"")</f>
        <v>0.12</v>
      </c>
      <c r="F9" s="8" t="str">
        <f>IFERROR(INDEX(Items!$F$2:$F$138,MATCH(C9,Items!$A$2:$A$138,0)),"")</f>
        <v/>
      </c>
      <c r="G9" s="9">
        <f>IFERROR(INDEX(Items!$I$2:$I$138,MATCH(C9,Items!$A$2:$A$138,0)),"")</f>
        <v>500</v>
      </c>
      <c r="H9" s="7" t="s">
        <v>18</v>
      </c>
    </row>
    <row r="10" spans="1:8" x14ac:dyDescent="0.25">
      <c r="A10" s="2" t="s">
        <v>23</v>
      </c>
      <c r="B10" s="2" t="s">
        <v>351</v>
      </c>
      <c r="C10" s="2" t="s">
        <v>69</v>
      </c>
      <c r="D10" s="2" t="s">
        <v>352</v>
      </c>
      <c r="E10" s="8">
        <f>IFERROR(INDEX(Items!$E$2:$E$138,MATCH(C10,Items!$A$2:$A$138,0)),"")</f>
        <v>2.5</v>
      </c>
      <c r="F10" s="8" t="str">
        <f>IFERROR(INDEX(Items!$F$2:$F$138,MATCH(C10,Items!$A$2:$A$138,0)),"")</f>
        <v/>
      </c>
      <c r="G10" s="9">
        <f>IFERROR(INDEX(Items!$I$2:$I$138,MATCH(C10,Items!$A$2:$A$138,0)),"")</f>
        <v>500</v>
      </c>
      <c r="H10" s="7" t="s">
        <v>18</v>
      </c>
    </row>
    <row r="11" spans="1:8" x14ac:dyDescent="0.25">
      <c r="A11" s="2" t="s">
        <v>23</v>
      </c>
      <c r="B11" s="2" t="s">
        <v>351</v>
      </c>
      <c r="C11" s="2" t="s">
        <v>71</v>
      </c>
      <c r="D11" s="2" t="s">
        <v>352</v>
      </c>
      <c r="E11" s="8">
        <f>IFERROR(INDEX(Items!$E$2:$E$138,MATCH(C11,Items!$A$2:$A$138,0)),"")</f>
        <v>0.02</v>
      </c>
      <c r="F11" s="8" t="str">
        <f>IFERROR(INDEX(Items!$F$2:$F$138,MATCH(C11,Items!$A$2:$A$138,0)),"")</f>
        <v/>
      </c>
      <c r="G11" s="9">
        <f>IFERROR(INDEX(Items!$I$2:$I$138,MATCH(C11,Items!$A$2:$A$138,0)),"")</f>
        <v>500</v>
      </c>
      <c r="H11" s="7" t="s">
        <v>18</v>
      </c>
    </row>
    <row r="12" spans="1:8" x14ac:dyDescent="0.25">
      <c r="A12" s="2" t="s">
        <v>23</v>
      </c>
      <c r="B12" s="2" t="s">
        <v>351</v>
      </c>
      <c r="C12" s="2" t="s">
        <v>75</v>
      </c>
      <c r="D12" s="2" t="s">
        <v>352</v>
      </c>
      <c r="E12" s="8">
        <f>IFERROR(INDEX(Items!$E$2:$E$138,MATCH(C12,Items!$A$2:$A$138,0)),"")</f>
        <v>0.15</v>
      </c>
      <c r="F12" s="8" t="str">
        <f>IFERROR(INDEX(Items!$F$2:$F$138,MATCH(C12,Items!$A$2:$A$138,0)),"")</f>
        <v/>
      </c>
      <c r="G12" s="9">
        <f>IFERROR(INDEX(Items!$I$2:$I$138,MATCH(C12,Items!$A$2:$A$138,0)),"")</f>
        <v>500</v>
      </c>
      <c r="H12" s="7" t="s">
        <v>18</v>
      </c>
    </row>
    <row r="13" spans="1:8" x14ac:dyDescent="0.25">
      <c r="A13" s="2" t="s">
        <v>23</v>
      </c>
      <c r="B13" s="2" t="s">
        <v>351</v>
      </c>
      <c r="C13" s="2" t="s">
        <v>77</v>
      </c>
      <c r="D13" s="2" t="s">
        <v>352</v>
      </c>
      <c r="E13" s="8">
        <f>IFERROR(INDEX(Items!$E$2:$E$138,MATCH(C13,Items!$A$2:$A$138,0)),"")</f>
        <v>0.02</v>
      </c>
      <c r="F13" s="8" t="str">
        <f>IFERROR(INDEX(Items!$F$2:$F$138,MATCH(C13,Items!$A$2:$A$138,0)),"")</f>
        <v/>
      </c>
      <c r="G13" s="9">
        <f>IFERROR(INDEX(Items!$I$2:$I$138,MATCH(C13,Items!$A$2:$A$138,0)),"")</f>
        <v>500</v>
      </c>
      <c r="H13" s="7" t="s">
        <v>18</v>
      </c>
    </row>
    <row r="14" spans="1:8" x14ac:dyDescent="0.25">
      <c r="A14" s="2" t="s">
        <v>23</v>
      </c>
      <c r="B14" s="2" t="s">
        <v>351</v>
      </c>
      <c r="C14" s="2" t="s">
        <v>121</v>
      </c>
      <c r="D14" s="2" t="s">
        <v>352</v>
      </c>
      <c r="E14" s="8">
        <f>IFERROR(INDEX(Items!$E$2:$E$138,MATCH(C14,Items!$A$2:$A$138,0)),"")</f>
        <v>0.05</v>
      </c>
      <c r="F14" s="8" t="str">
        <f>IFERROR(INDEX(Items!$F$2:$F$138,MATCH(C14,Items!$A$2:$A$138,0)),"")</f>
        <v/>
      </c>
      <c r="G14" s="9">
        <f>IFERROR(INDEX(Items!$I$2:$I$138,MATCH(C14,Items!$A$2:$A$138,0)),"")</f>
        <v>1500</v>
      </c>
      <c r="H14" s="7" t="s">
        <v>18</v>
      </c>
    </row>
    <row r="15" spans="1:8" x14ac:dyDescent="0.25">
      <c r="A15" s="2" t="s">
        <v>23</v>
      </c>
      <c r="B15" s="2" t="s">
        <v>351</v>
      </c>
      <c r="C15" s="2" t="s">
        <v>124</v>
      </c>
      <c r="D15" s="2" t="s">
        <v>352</v>
      </c>
      <c r="E15" s="8">
        <f>IFERROR(INDEX(Items!$E$2:$E$138,MATCH(C15,Items!$A$2:$A$138,0)),"")</f>
        <v>0.12</v>
      </c>
      <c r="F15" s="8" t="str">
        <f>IFERROR(INDEX(Items!$F$2:$F$138,MATCH(C15,Items!$A$2:$A$138,0)),"")</f>
        <v/>
      </c>
      <c r="G15" s="9">
        <f>IFERROR(INDEX(Items!$I$2:$I$138,MATCH(C15,Items!$A$2:$A$138,0)),"")</f>
        <v>500</v>
      </c>
      <c r="H15" s="7" t="s">
        <v>18</v>
      </c>
    </row>
    <row r="16" spans="1:8" x14ac:dyDescent="0.25">
      <c r="A16" s="2" t="s">
        <v>23</v>
      </c>
      <c r="B16" s="2" t="s">
        <v>351</v>
      </c>
      <c r="C16" s="2" t="s">
        <v>134</v>
      </c>
      <c r="D16" s="2" t="s">
        <v>352</v>
      </c>
      <c r="E16" s="8">
        <f>IFERROR(INDEX(Items!$E$2:$E$138,MATCH(C16,Items!$A$2:$A$138,0)),"")</f>
        <v>0.1</v>
      </c>
      <c r="F16" s="8" t="str">
        <f>IFERROR(INDEX(Items!$F$2:$F$138,MATCH(C16,Items!$A$2:$A$138,0)),"")</f>
        <v/>
      </c>
      <c r="G16" s="9">
        <f>IFERROR(INDEX(Items!$I$2:$I$138,MATCH(C16,Items!$A$2:$A$138,0)),"")</f>
        <v>500</v>
      </c>
      <c r="H16" s="7" t="s">
        <v>18</v>
      </c>
    </row>
    <row r="17" spans="1:8" x14ac:dyDescent="0.25">
      <c r="A17" s="2" t="s">
        <v>23</v>
      </c>
      <c r="B17" s="2" t="s">
        <v>351</v>
      </c>
      <c r="C17" s="2" t="s">
        <v>138</v>
      </c>
      <c r="D17" s="2" t="s">
        <v>352</v>
      </c>
      <c r="E17" s="8">
        <f>IFERROR(INDEX(Items!$E$2:$E$138,MATCH(C17,Items!$A$2:$A$138,0)),"")</f>
        <v>0.01</v>
      </c>
      <c r="F17" s="8" t="str">
        <f>IFERROR(INDEX(Items!$F$2:$F$138,MATCH(C17,Items!$A$2:$A$138,0)),"")</f>
        <v/>
      </c>
      <c r="G17" s="9">
        <f>IFERROR(INDEX(Items!$I$2:$I$138,MATCH(C17,Items!$A$2:$A$138,0)),"")</f>
        <v>500</v>
      </c>
      <c r="H17" s="7" t="s">
        <v>18</v>
      </c>
    </row>
    <row r="18" spans="1:8" x14ac:dyDescent="0.25">
      <c r="A18" s="2" t="s">
        <v>23</v>
      </c>
      <c r="B18" s="2" t="s">
        <v>351</v>
      </c>
      <c r="C18" s="2" t="s">
        <v>141</v>
      </c>
      <c r="D18" s="2" t="s">
        <v>352</v>
      </c>
      <c r="E18" s="8">
        <f>IFERROR(INDEX(Items!$E$2:$E$138,MATCH(C18,Items!$A$2:$A$138,0)),"")</f>
        <v>0.01</v>
      </c>
      <c r="F18" s="8" t="str">
        <f>IFERROR(INDEX(Items!$F$2:$F$138,MATCH(C18,Items!$A$2:$A$138,0)),"")</f>
        <v/>
      </c>
      <c r="G18" s="9">
        <f>IFERROR(INDEX(Items!$I$2:$I$138,MATCH(C18,Items!$A$2:$A$138,0)),"")</f>
        <v>500</v>
      </c>
      <c r="H18" s="7" t="s">
        <v>18</v>
      </c>
    </row>
    <row r="19" spans="1:8" x14ac:dyDescent="0.25">
      <c r="A19" s="2" t="s">
        <v>43</v>
      </c>
      <c r="B19" s="2" t="s">
        <v>351</v>
      </c>
      <c r="C19" s="2" t="s">
        <v>41</v>
      </c>
      <c r="D19" s="2" t="s">
        <v>352</v>
      </c>
      <c r="E19" s="8">
        <f>IFERROR(INDEX(Items!$E$2:$E$138,MATCH(C19,Items!$A$2:$A$138,0)),"")</f>
        <v>1</v>
      </c>
      <c r="F19" s="8" t="str">
        <f>IFERROR(INDEX(Items!$F$2:$F$138,MATCH(C19,Items!$A$2:$A$138,0)),"")</f>
        <v/>
      </c>
      <c r="G19" s="9">
        <f>IFERROR(INDEX(Items!$I$2:$I$138,MATCH(C19,Items!$A$2:$A$138,0)),"")</f>
        <v>1000</v>
      </c>
      <c r="H19" s="7" t="s">
        <v>18</v>
      </c>
    </row>
    <row r="20" spans="1:8" x14ac:dyDescent="0.25">
      <c r="A20" s="2" t="s">
        <v>43</v>
      </c>
      <c r="B20" s="2" t="s">
        <v>351</v>
      </c>
      <c r="C20" s="2" t="s">
        <v>44</v>
      </c>
      <c r="D20" s="2" t="s">
        <v>352</v>
      </c>
      <c r="E20" s="8">
        <f>IFERROR(INDEX(Items!$E$2:$E$138,MATCH(C20,Items!$A$2:$A$138,0)),"")</f>
        <v>0.5</v>
      </c>
      <c r="F20" s="8" t="str">
        <f>IFERROR(INDEX(Items!$F$2:$F$138,MATCH(C20,Items!$A$2:$A$138,0)),"")</f>
        <v/>
      </c>
      <c r="G20" s="9">
        <f>IFERROR(INDEX(Items!$I$2:$I$138,MATCH(C20,Items!$A$2:$A$138,0)),"")</f>
        <v>1000</v>
      </c>
      <c r="H20" s="7" t="s">
        <v>18</v>
      </c>
    </row>
    <row r="21" spans="1:8" x14ac:dyDescent="0.25">
      <c r="A21" s="2" t="s">
        <v>43</v>
      </c>
      <c r="B21" s="2" t="s">
        <v>351</v>
      </c>
      <c r="C21" s="2" t="s">
        <v>46</v>
      </c>
      <c r="D21" s="2" t="s">
        <v>352</v>
      </c>
      <c r="E21" s="8">
        <f>IFERROR(INDEX(Items!$E$2:$E$138,MATCH(C21,Items!$A$2:$A$138,0)),"")</f>
        <v>2.5</v>
      </c>
      <c r="F21" s="8" t="str">
        <f>IFERROR(INDEX(Items!$F$2:$F$138,MATCH(C21,Items!$A$2:$A$138,0)),"")</f>
        <v/>
      </c>
      <c r="G21" s="9">
        <f>IFERROR(INDEX(Items!$I$2:$I$138,MATCH(C21,Items!$A$2:$A$138,0)),"")</f>
        <v>150</v>
      </c>
      <c r="H21" s="7" t="s">
        <v>18</v>
      </c>
    </row>
    <row r="22" spans="1:8" x14ac:dyDescent="0.25">
      <c r="A22" s="2" t="s">
        <v>43</v>
      </c>
      <c r="B22" s="2" t="s">
        <v>351</v>
      </c>
      <c r="C22" s="2" t="s">
        <v>60</v>
      </c>
      <c r="D22" s="2" t="s">
        <v>352</v>
      </c>
      <c r="E22" s="8">
        <f>IFERROR(INDEX(Items!$E$2:$E$138,MATCH(C22,Items!$A$2:$A$138,0)),"")</f>
        <v>0.5</v>
      </c>
      <c r="F22" s="8" t="str">
        <f>IFERROR(INDEX(Items!$F$2:$F$138,MATCH(C22,Items!$A$2:$A$138,0)),"")</f>
        <v/>
      </c>
      <c r="G22" s="9">
        <f>IFERROR(INDEX(Items!$I$2:$I$138,MATCH(C22,Items!$A$2:$A$138,0)),"")</f>
        <v>500</v>
      </c>
      <c r="H22" s="7" t="s">
        <v>18</v>
      </c>
    </row>
    <row r="23" spans="1:8" x14ac:dyDescent="0.25">
      <c r="A23" s="2" t="s">
        <v>43</v>
      </c>
      <c r="B23" s="2" t="s">
        <v>351</v>
      </c>
      <c r="C23" s="2" t="s">
        <v>81</v>
      </c>
      <c r="D23" s="2" t="s">
        <v>352</v>
      </c>
      <c r="E23" s="8">
        <f>IFERROR(INDEX(Items!$E$2:$E$138,MATCH(C23,Items!$A$2:$A$138,0)),"")</f>
        <v>3.5</v>
      </c>
      <c r="F23" s="8" t="str">
        <f>IFERROR(INDEX(Items!$F$2:$F$138,MATCH(C23,Items!$A$2:$A$138,0)),"")</f>
        <v/>
      </c>
      <c r="G23" s="9">
        <f>IFERROR(INDEX(Items!$I$2:$I$138,MATCH(C23,Items!$A$2:$A$138,0)),"")</f>
        <v>500</v>
      </c>
      <c r="H23" s="7" t="s">
        <v>18</v>
      </c>
    </row>
    <row r="24" spans="1:8" x14ac:dyDescent="0.25">
      <c r="A24" s="2" t="s">
        <v>43</v>
      </c>
      <c r="B24" s="2" t="s">
        <v>351</v>
      </c>
      <c r="C24" s="2" t="s">
        <v>89</v>
      </c>
      <c r="D24" s="2" t="s">
        <v>352</v>
      </c>
      <c r="E24" s="8">
        <f>IFERROR(INDEX(Items!$E$2:$E$138,MATCH(C24,Items!$A$2:$A$138,0)),"")</f>
        <v>6.25</v>
      </c>
      <c r="F24" s="8" t="str">
        <f>IFERROR(INDEX(Items!$F$2:$F$138,MATCH(C24,Items!$A$2:$A$138,0)),"")</f>
        <v/>
      </c>
      <c r="G24" s="9">
        <f>IFERROR(INDEX(Items!$I$2:$I$138,MATCH(C24,Items!$A$2:$A$138,0)),"")</f>
        <v>300</v>
      </c>
      <c r="H24" s="7" t="s">
        <v>18</v>
      </c>
    </row>
    <row r="25" spans="1:8" x14ac:dyDescent="0.25">
      <c r="A25" s="2" t="s">
        <v>43</v>
      </c>
      <c r="B25" s="2" t="s">
        <v>351</v>
      </c>
      <c r="C25" s="2" t="s">
        <v>93</v>
      </c>
      <c r="D25" s="2" t="s">
        <v>352</v>
      </c>
      <c r="E25" s="8">
        <f>IFERROR(INDEX(Items!$E$2:$E$138,MATCH(C25,Items!$A$2:$A$138,0)),"")</f>
        <v>0.6</v>
      </c>
      <c r="F25" s="8" t="str">
        <f>IFERROR(INDEX(Items!$F$2:$F$138,MATCH(C25,Items!$A$2:$A$138,0)),"")</f>
        <v/>
      </c>
      <c r="G25" s="9">
        <f>IFERROR(INDEX(Items!$I$2:$I$138,MATCH(C25,Items!$A$2:$A$138,0)),"")</f>
        <v>500</v>
      </c>
      <c r="H25" s="7" t="s">
        <v>18</v>
      </c>
    </row>
    <row r="26" spans="1:8" x14ac:dyDescent="0.25">
      <c r="A26" s="2" t="s">
        <v>43</v>
      </c>
      <c r="B26" s="2" t="s">
        <v>351</v>
      </c>
      <c r="C26" s="2" t="s">
        <v>95</v>
      </c>
      <c r="D26" s="2" t="s">
        <v>352</v>
      </c>
      <c r="E26" s="8">
        <f>IFERROR(INDEX(Items!$E$2:$E$138,MATCH(C26,Items!$A$2:$A$138,0)),"")</f>
        <v>0.01</v>
      </c>
      <c r="F26" s="8" t="str">
        <f>IFERROR(INDEX(Items!$F$2:$F$138,MATCH(C26,Items!$A$2:$A$138,0)),"")</f>
        <v/>
      </c>
      <c r="G26" s="9">
        <f>IFERROR(INDEX(Items!$I$2:$I$138,MATCH(C26,Items!$A$2:$A$138,0)),"")</f>
        <v>500</v>
      </c>
      <c r="H26" s="7" t="s">
        <v>18</v>
      </c>
    </row>
    <row r="27" spans="1:8" x14ac:dyDescent="0.25">
      <c r="A27" s="2" t="s">
        <v>43</v>
      </c>
      <c r="B27" s="2" t="s">
        <v>351</v>
      </c>
      <c r="C27" s="2" t="s">
        <v>103</v>
      </c>
      <c r="D27" s="2" t="s">
        <v>352</v>
      </c>
      <c r="E27" s="8">
        <f>IFERROR(INDEX(Items!$E$2:$E$138,MATCH(C27,Items!$A$2:$A$138,0)),"")</f>
        <v>0.5</v>
      </c>
      <c r="F27" s="8" t="str">
        <f>IFERROR(INDEX(Items!$F$2:$F$138,MATCH(C27,Items!$A$2:$A$138,0)),"")</f>
        <v/>
      </c>
      <c r="G27" s="9">
        <f>IFERROR(INDEX(Items!$I$2:$I$138,MATCH(C27,Items!$A$2:$A$138,0)),"")</f>
        <v>1000</v>
      </c>
      <c r="H27" s="7" t="s">
        <v>18</v>
      </c>
    </row>
    <row r="28" spans="1:8" x14ac:dyDescent="0.25">
      <c r="A28" s="2" t="s">
        <v>43</v>
      </c>
      <c r="B28" s="2" t="s">
        <v>351</v>
      </c>
      <c r="C28" s="2" t="s">
        <v>105</v>
      </c>
      <c r="D28" s="2" t="s">
        <v>352</v>
      </c>
      <c r="E28" s="8">
        <f>IFERROR(INDEX(Items!$E$2:$E$138,MATCH(C28,Items!$A$2:$A$138,0)),"")</f>
        <v>0.5</v>
      </c>
      <c r="F28" s="8" t="str">
        <f>IFERROR(INDEX(Items!$F$2:$F$138,MATCH(C28,Items!$A$2:$A$138,0)),"")</f>
        <v/>
      </c>
      <c r="G28" s="9">
        <f>IFERROR(INDEX(Items!$I$2:$I$138,MATCH(C28,Items!$A$2:$A$138,0)),"")</f>
        <v>1000</v>
      </c>
      <c r="H28" s="7" t="s">
        <v>18</v>
      </c>
    </row>
    <row r="29" spans="1:8" x14ac:dyDescent="0.25">
      <c r="A29" s="2" t="s">
        <v>43</v>
      </c>
      <c r="B29" s="2" t="s">
        <v>351</v>
      </c>
      <c r="C29" s="2" t="s">
        <v>107</v>
      </c>
      <c r="D29" s="2" t="s">
        <v>352</v>
      </c>
      <c r="E29" s="8">
        <f>IFERROR(INDEX(Items!$E$2:$E$138,MATCH(C29,Items!$A$2:$A$138,0)),"")</f>
        <v>0.5</v>
      </c>
      <c r="F29" s="8" t="str">
        <f>IFERROR(INDEX(Items!$F$2:$F$138,MATCH(C29,Items!$A$2:$A$138,0)),"")</f>
        <v/>
      </c>
      <c r="G29" s="9">
        <f>IFERROR(INDEX(Items!$I$2:$I$138,MATCH(C29,Items!$A$2:$A$138,0)),"")</f>
        <v>1000</v>
      </c>
      <c r="H29" s="7" t="s">
        <v>18</v>
      </c>
    </row>
    <row r="30" spans="1:8" x14ac:dyDescent="0.25">
      <c r="A30" s="2" t="s">
        <v>43</v>
      </c>
      <c r="B30" s="2" t="s">
        <v>351</v>
      </c>
      <c r="C30" s="2" t="s">
        <v>109</v>
      </c>
      <c r="D30" s="2" t="s">
        <v>352</v>
      </c>
      <c r="E30" s="8">
        <f>IFERROR(INDEX(Items!$E$2:$E$138,MATCH(C30,Items!$A$2:$A$138,0)),"")</f>
        <v>1.5</v>
      </c>
      <c r="F30" s="8" t="str">
        <f>IFERROR(INDEX(Items!$F$2:$F$138,MATCH(C30,Items!$A$2:$A$138,0)),"")</f>
        <v/>
      </c>
      <c r="G30" s="9">
        <f>IFERROR(INDEX(Items!$I$2:$I$138,MATCH(C30,Items!$A$2:$A$138,0)),"")</f>
        <v>1000</v>
      </c>
      <c r="H30" s="7" t="s">
        <v>18</v>
      </c>
    </row>
    <row r="31" spans="1:8" x14ac:dyDescent="0.25">
      <c r="A31" s="2" t="s">
        <v>43</v>
      </c>
      <c r="B31" s="2" t="s">
        <v>351</v>
      </c>
      <c r="C31" s="2" t="s">
        <v>111</v>
      </c>
      <c r="D31" s="2" t="s">
        <v>352</v>
      </c>
      <c r="E31" s="8">
        <f>IFERROR(INDEX(Items!$E$2:$E$138,MATCH(C31,Items!$A$2:$A$138,0)),"")</f>
        <v>3</v>
      </c>
      <c r="F31" s="8" t="str">
        <f>IFERROR(INDEX(Items!$F$2:$F$138,MATCH(C31,Items!$A$2:$A$138,0)),"")</f>
        <v/>
      </c>
      <c r="G31" s="9">
        <f>IFERROR(INDEX(Items!$I$2:$I$138,MATCH(C31,Items!$A$2:$A$138,0)),"")</f>
        <v>1000</v>
      </c>
      <c r="H31" s="7" t="s">
        <v>18</v>
      </c>
    </row>
    <row r="32" spans="1:8" x14ac:dyDescent="0.25">
      <c r="A32" s="2" t="s">
        <v>43</v>
      </c>
      <c r="B32" s="2" t="s">
        <v>351</v>
      </c>
      <c r="C32" s="2" t="s">
        <v>113</v>
      </c>
      <c r="D32" s="2" t="s">
        <v>352</v>
      </c>
      <c r="E32" s="8">
        <f>IFERROR(INDEX(Items!$E$2:$E$138,MATCH(C32,Items!$A$2:$A$138,0)),"")</f>
        <v>0.5</v>
      </c>
      <c r="F32" s="8" t="str">
        <f>IFERROR(INDEX(Items!$F$2:$F$138,MATCH(C32,Items!$A$2:$A$138,0)),"")</f>
        <v/>
      </c>
      <c r="G32" s="9">
        <f>IFERROR(INDEX(Items!$I$2:$I$138,MATCH(C32,Items!$A$2:$A$138,0)),"")</f>
        <v>1000</v>
      </c>
      <c r="H32" s="7" t="s">
        <v>18</v>
      </c>
    </row>
    <row r="33" spans="1:8" x14ac:dyDescent="0.25">
      <c r="A33" s="2" t="s">
        <v>43</v>
      </c>
      <c r="B33" s="2" t="s">
        <v>351</v>
      </c>
      <c r="C33" s="2" t="s">
        <v>115</v>
      </c>
      <c r="D33" s="2" t="s">
        <v>352</v>
      </c>
      <c r="E33" s="8">
        <f>IFERROR(INDEX(Items!$E$2:$E$138,MATCH(C33,Items!$A$2:$A$138,0)),"")</f>
        <v>0.5</v>
      </c>
      <c r="F33" s="8" t="str">
        <f>IFERROR(INDEX(Items!$F$2:$F$138,MATCH(C33,Items!$A$2:$A$138,0)),"")</f>
        <v/>
      </c>
      <c r="G33" s="9">
        <f>IFERROR(INDEX(Items!$I$2:$I$138,MATCH(C33,Items!$A$2:$A$138,0)),"")</f>
        <v>1000</v>
      </c>
      <c r="H33" s="7" t="s">
        <v>18</v>
      </c>
    </row>
    <row r="34" spans="1:8" x14ac:dyDescent="0.25">
      <c r="A34" s="2" t="s">
        <v>43</v>
      </c>
      <c r="B34" s="2" t="s">
        <v>351</v>
      </c>
      <c r="C34" s="2" t="s">
        <v>117</v>
      </c>
      <c r="D34" s="2" t="s">
        <v>352</v>
      </c>
      <c r="E34" s="8">
        <f>IFERROR(INDEX(Items!$E$2:$E$138,MATCH(C34,Items!$A$2:$A$138,0)),"")</f>
        <v>0.5</v>
      </c>
      <c r="F34" s="8" t="str">
        <f>IFERROR(INDEX(Items!$F$2:$F$138,MATCH(C34,Items!$A$2:$A$138,0)),"")</f>
        <v/>
      </c>
      <c r="G34" s="9">
        <f>IFERROR(INDEX(Items!$I$2:$I$138,MATCH(C34,Items!$A$2:$A$138,0)),"")</f>
        <v>1000</v>
      </c>
      <c r="H34" s="7" t="s">
        <v>18</v>
      </c>
    </row>
    <row r="35" spans="1:8" x14ac:dyDescent="0.25">
      <c r="A35" s="2" t="s">
        <v>43</v>
      </c>
      <c r="B35" s="2" t="s">
        <v>351</v>
      </c>
      <c r="C35" s="2" t="s">
        <v>126</v>
      </c>
      <c r="D35" s="2" t="s">
        <v>352</v>
      </c>
      <c r="E35" s="8">
        <f>IFERROR(INDEX(Items!$E$2:$E$138,MATCH(C35,Items!$A$2:$A$138,0)),"")</f>
        <v>0.5</v>
      </c>
      <c r="F35" s="8" t="str">
        <f>IFERROR(INDEX(Items!$F$2:$F$138,MATCH(C35,Items!$A$2:$A$138,0)),"")</f>
        <v/>
      </c>
      <c r="G35" s="9">
        <f>IFERROR(INDEX(Items!$I$2:$I$138,MATCH(C35,Items!$A$2:$A$138,0)),"")</f>
        <v>500</v>
      </c>
      <c r="H35" s="7" t="s">
        <v>18</v>
      </c>
    </row>
    <row r="36" spans="1:8" x14ac:dyDescent="0.25">
      <c r="A36" s="2" t="s">
        <v>43</v>
      </c>
      <c r="B36" s="2" t="s">
        <v>351</v>
      </c>
      <c r="C36" s="2" t="s">
        <v>138</v>
      </c>
      <c r="D36" s="2" t="s">
        <v>352</v>
      </c>
      <c r="E36" s="8">
        <f>IFERROR(INDEX(Items!$E$2:$E$138,MATCH(C36,Items!$A$2:$A$138,0)),"")</f>
        <v>0.01</v>
      </c>
      <c r="F36" s="8" t="str">
        <f>IFERROR(INDEX(Items!$F$2:$F$138,MATCH(C36,Items!$A$2:$A$138,0)),"")</f>
        <v/>
      </c>
      <c r="G36" s="9">
        <f>IFERROR(INDEX(Items!$I$2:$I$138,MATCH(C36,Items!$A$2:$A$138,0)),"")</f>
        <v>500</v>
      </c>
      <c r="H36" s="7" t="s">
        <v>18</v>
      </c>
    </row>
    <row r="37" spans="1:8" x14ac:dyDescent="0.25">
      <c r="A37" s="2" t="s">
        <v>17</v>
      </c>
      <c r="B37" s="2" t="s">
        <v>351</v>
      </c>
      <c r="C37" s="2" t="s">
        <v>143</v>
      </c>
      <c r="D37" s="2" t="s">
        <v>352</v>
      </c>
      <c r="E37" s="8">
        <f>IFERROR(INDEX(Items!$E$2:$E$138,MATCH(C37,Items!$A$2:$A$138,0)),"")</f>
        <v>0.28</v>
      </c>
      <c r="F37" s="8">
        <f>IFERROR(INDEX(Items!$F$2:$F$138,MATCH(C37,Items!$A$2:$A$138,0)),"")</f>
        <v>2.12</v>
      </c>
      <c r="G37" s="9">
        <f>IFERROR(INDEX(Items!$I$2:$I$138,MATCH(C37,Items!$A$2:$A$138,0)),"")</f>
        <v>250</v>
      </c>
      <c r="H37" s="7" t="s">
        <v>18</v>
      </c>
    </row>
    <row r="38" spans="1:8" x14ac:dyDescent="0.25">
      <c r="A38" s="2" t="s">
        <v>17</v>
      </c>
      <c r="B38" s="2" t="s">
        <v>351</v>
      </c>
      <c r="C38" s="2" t="s">
        <v>148</v>
      </c>
      <c r="D38" s="2" t="s">
        <v>352</v>
      </c>
      <c r="E38" s="8">
        <f>IFERROR(INDEX(Items!$E$2:$E$138,MATCH(C38,Items!$A$2:$A$138,0)),"")</f>
        <v>0.29</v>
      </c>
      <c r="F38" s="8">
        <f>IFERROR(INDEX(Items!$F$2:$F$138,MATCH(C38,Items!$A$2:$A$138,0)),"")</f>
        <v>2.56</v>
      </c>
      <c r="G38" s="9">
        <f>IFERROR(INDEX(Items!$I$2:$I$138,MATCH(C38,Items!$A$2:$A$138,0)),"")</f>
        <v>500</v>
      </c>
      <c r="H38" s="7" t="s">
        <v>18</v>
      </c>
    </row>
    <row r="39" spans="1:8" x14ac:dyDescent="0.25">
      <c r="A39" s="2" t="s">
        <v>17</v>
      </c>
      <c r="B39" s="2" t="s">
        <v>351</v>
      </c>
      <c r="C39" s="2" t="s">
        <v>14</v>
      </c>
      <c r="D39" s="2" t="s">
        <v>352</v>
      </c>
      <c r="E39" s="8">
        <f>IFERROR(INDEX(Items!$E$2:$E$138,MATCH(C39,Items!$A$2:$A$138,0)),"")</f>
        <v>0.1</v>
      </c>
      <c r="F39" s="8" t="str">
        <f>IFERROR(INDEX(Items!$F$2:$F$138,MATCH(C39,Items!$A$2:$A$138,0)),"")</f>
        <v/>
      </c>
      <c r="G39" s="9">
        <f>IFERROR(INDEX(Items!$I$2:$I$138,MATCH(C39,Items!$A$2:$A$138,0)),"")</f>
        <v>500</v>
      </c>
      <c r="H39" s="7" t="s">
        <v>18</v>
      </c>
    </row>
    <row r="40" spans="1:8" x14ac:dyDescent="0.25">
      <c r="A40" s="2" t="s">
        <v>17</v>
      </c>
      <c r="B40" s="2" t="s">
        <v>351</v>
      </c>
      <c r="C40" s="2" t="s">
        <v>29</v>
      </c>
      <c r="D40" s="2" t="s">
        <v>352</v>
      </c>
      <c r="E40" s="8">
        <f>IFERROR(INDEX(Items!$E$2:$E$138,MATCH(C40,Items!$A$2:$A$138,0)),"")</f>
        <v>0.5</v>
      </c>
      <c r="F40" s="8" t="str">
        <f>IFERROR(INDEX(Items!$F$2:$F$138,MATCH(C40,Items!$A$2:$A$138,0)),"")</f>
        <v/>
      </c>
      <c r="G40" s="9">
        <f>IFERROR(INDEX(Items!$I$2:$I$138,MATCH(C40,Items!$A$2:$A$138,0)),"")</f>
        <v>500</v>
      </c>
      <c r="H40" s="7" t="s">
        <v>18</v>
      </c>
    </row>
    <row r="41" spans="1:8" x14ac:dyDescent="0.25">
      <c r="A41" s="2" t="s">
        <v>17</v>
      </c>
      <c r="B41" s="2" t="s">
        <v>351</v>
      </c>
      <c r="C41" s="2" t="s">
        <v>37</v>
      </c>
      <c r="D41" s="2" t="s">
        <v>352</v>
      </c>
      <c r="E41" s="8">
        <f>IFERROR(INDEX(Items!$E$2:$E$138,MATCH(C41,Items!$A$2:$A$138,0)),"")</f>
        <v>0.32</v>
      </c>
      <c r="F41" s="8" t="str">
        <f>IFERROR(INDEX(Items!$F$2:$F$138,MATCH(C41,Items!$A$2:$A$138,0)),"")</f>
        <v/>
      </c>
      <c r="G41" s="9">
        <f>IFERROR(INDEX(Items!$I$2:$I$138,MATCH(C41,Items!$A$2:$A$138,0)),"")</f>
        <v>500</v>
      </c>
      <c r="H41" s="7" t="s">
        <v>18</v>
      </c>
    </row>
    <row r="42" spans="1:8" x14ac:dyDescent="0.25">
      <c r="A42" s="2" t="s">
        <v>17</v>
      </c>
      <c r="B42" s="2" t="s">
        <v>351</v>
      </c>
      <c r="C42" s="2" t="s">
        <v>39</v>
      </c>
      <c r="D42" s="2" t="s">
        <v>352</v>
      </c>
      <c r="E42" s="8">
        <f>IFERROR(INDEX(Items!$E$2:$E$138,MATCH(C42,Items!$A$2:$A$138,0)),"")</f>
        <v>0.35</v>
      </c>
      <c r="F42" s="8" t="str">
        <f>IFERROR(INDEX(Items!$F$2:$F$138,MATCH(C42,Items!$A$2:$A$138,0)),"")</f>
        <v/>
      </c>
      <c r="G42" s="9">
        <f>IFERROR(INDEX(Items!$I$2:$I$138,MATCH(C42,Items!$A$2:$A$138,0)),"")</f>
        <v>500</v>
      </c>
      <c r="H42" s="7" t="s">
        <v>18</v>
      </c>
    </row>
    <row r="43" spans="1:8" x14ac:dyDescent="0.25">
      <c r="A43" s="2" t="s">
        <v>17</v>
      </c>
      <c r="B43" s="2" t="s">
        <v>351</v>
      </c>
      <c r="C43" s="2" t="s">
        <v>52</v>
      </c>
      <c r="D43" s="2" t="s">
        <v>352</v>
      </c>
      <c r="E43" s="8">
        <f>IFERROR(INDEX(Items!$E$2:$E$138,MATCH(C43,Items!$A$2:$A$138,0)),"")</f>
        <v>0.55</v>
      </c>
      <c r="F43" s="8" t="str">
        <f>IFERROR(INDEX(Items!$F$2:$F$138,MATCH(C43,Items!$A$2:$A$138,0)),"")</f>
        <v/>
      </c>
      <c r="G43" s="9">
        <f>IFERROR(INDEX(Items!$I$2:$I$138,MATCH(C43,Items!$A$2:$A$138,0)),"")</f>
        <v>500</v>
      </c>
      <c r="H43" s="7" t="s">
        <v>18</v>
      </c>
    </row>
    <row r="44" spans="1:8" x14ac:dyDescent="0.25">
      <c r="A44" s="2" t="s">
        <v>17</v>
      </c>
      <c r="B44" s="2" t="s">
        <v>351</v>
      </c>
      <c r="C44" s="2" t="s">
        <v>65</v>
      </c>
      <c r="D44" s="2" t="s">
        <v>352</v>
      </c>
      <c r="E44" s="8">
        <f>IFERROR(INDEX(Items!$E$2:$E$138,MATCH(C44,Items!$A$2:$A$138,0)),"")</f>
        <v>0.55</v>
      </c>
      <c r="F44" s="8" t="str">
        <f>IFERROR(INDEX(Items!$F$2:$F$138,MATCH(C44,Items!$A$2:$A$138,0)),"")</f>
        <v/>
      </c>
      <c r="G44" s="9">
        <f>IFERROR(INDEX(Items!$I$2:$I$138,MATCH(C44,Items!$A$2:$A$138,0)),"")</f>
        <v>500</v>
      </c>
      <c r="H44" s="7" t="s">
        <v>18</v>
      </c>
    </row>
    <row r="45" spans="1:8" x14ac:dyDescent="0.25">
      <c r="A45" s="2" t="s">
        <v>17</v>
      </c>
      <c r="B45" s="2" t="s">
        <v>351</v>
      </c>
      <c r="C45" s="2" t="s">
        <v>85</v>
      </c>
      <c r="D45" s="2" t="s">
        <v>352</v>
      </c>
      <c r="E45" s="8">
        <f>IFERROR(INDEX(Items!$E$2:$E$138,MATCH(C45,Items!$A$2:$A$138,0)),"")</f>
        <v>0.05</v>
      </c>
      <c r="F45" s="8" t="str">
        <f>IFERROR(INDEX(Items!$F$2:$F$138,MATCH(C45,Items!$A$2:$A$138,0)),"")</f>
        <v/>
      </c>
      <c r="G45" s="9">
        <f>IFERROR(INDEX(Items!$I$2:$I$138,MATCH(C45,Items!$A$2:$A$138,0)),"")</f>
        <v>500</v>
      </c>
      <c r="H45" s="7" t="s">
        <v>18</v>
      </c>
    </row>
    <row r="46" spans="1:8" x14ac:dyDescent="0.25">
      <c r="A46" s="2" t="s">
        <v>17</v>
      </c>
      <c r="B46" s="2" t="s">
        <v>351</v>
      </c>
      <c r="C46" s="2" t="s">
        <v>87</v>
      </c>
      <c r="D46" s="2" t="s">
        <v>352</v>
      </c>
      <c r="E46" s="8">
        <f>IFERROR(INDEX(Items!$E$2:$E$138,MATCH(C46,Items!$A$2:$A$138,0)),"")</f>
        <v>0.14</v>
      </c>
      <c r="F46" s="8" t="str">
        <f>IFERROR(INDEX(Items!$F$2:$F$138,MATCH(C46,Items!$A$2:$A$138,0)),"")</f>
        <v/>
      </c>
      <c r="G46" s="9">
        <f>IFERROR(INDEX(Items!$I$2:$I$138,MATCH(C46,Items!$A$2:$A$138,0)),"")</f>
        <v>500</v>
      </c>
      <c r="H46" s="7" t="s">
        <v>18</v>
      </c>
    </row>
    <row r="47" spans="1:8" x14ac:dyDescent="0.25">
      <c r="A47" s="2" t="s">
        <v>17</v>
      </c>
      <c r="B47" s="2" t="s">
        <v>351</v>
      </c>
      <c r="C47" s="2" t="s">
        <v>91</v>
      </c>
      <c r="D47" s="2" t="s">
        <v>352</v>
      </c>
      <c r="E47" s="8">
        <f>IFERROR(INDEX(Items!$E$2:$E$138,MATCH(C47,Items!$A$2:$A$138,0)),"")</f>
        <v>0.1</v>
      </c>
      <c r="F47" s="8" t="str">
        <f>IFERROR(INDEX(Items!$F$2:$F$138,MATCH(C47,Items!$A$2:$A$138,0)),"")</f>
        <v/>
      </c>
      <c r="G47" s="9">
        <f>IFERROR(INDEX(Items!$I$2:$I$138,MATCH(C47,Items!$A$2:$A$138,0)),"")</f>
        <v>500</v>
      </c>
      <c r="H47" s="7" t="s">
        <v>18</v>
      </c>
    </row>
    <row r="48" spans="1:8" x14ac:dyDescent="0.25">
      <c r="A48" s="2" t="s">
        <v>17</v>
      </c>
      <c r="B48" s="2" t="s">
        <v>351</v>
      </c>
      <c r="C48" s="2" t="s">
        <v>97</v>
      </c>
      <c r="D48" s="2" t="s">
        <v>352</v>
      </c>
      <c r="E48" s="8">
        <f>IFERROR(INDEX(Items!$E$2:$E$138,MATCH(C48,Items!$A$2:$A$138,0)),"")</f>
        <v>0.34</v>
      </c>
      <c r="F48" s="8" t="str">
        <f>IFERROR(INDEX(Items!$F$2:$F$138,MATCH(C48,Items!$A$2:$A$138,0)),"")</f>
        <v/>
      </c>
      <c r="G48" s="9">
        <f>IFERROR(INDEX(Items!$I$2:$I$138,MATCH(C48,Items!$A$2:$A$138,0)),"")</f>
        <v>500</v>
      </c>
      <c r="H48" s="7" t="s">
        <v>18</v>
      </c>
    </row>
    <row r="49" spans="1:8" x14ac:dyDescent="0.25">
      <c r="A49" s="2" t="s">
        <v>17</v>
      </c>
      <c r="B49" s="2" t="s">
        <v>351</v>
      </c>
      <c r="C49" s="2" t="s">
        <v>101</v>
      </c>
      <c r="D49" s="2" t="s">
        <v>352</v>
      </c>
      <c r="E49" s="8">
        <f>IFERROR(INDEX(Items!$E$2:$E$138,MATCH(C49,Items!$A$2:$A$138,0)),"")</f>
        <v>0.4</v>
      </c>
      <c r="F49" s="8" t="str">
        <f>IFERROR(INDEX(Items!$F$2:$F$138,MATCH(C49,Items!$A$2:$A$138,0)),"")</f>
        <v/>
      </c>
      <c r="G49" s="9">
        <f>IFERROR(INDEX(Items!$I$2:$I$138,MATCH(C49,Items!$A$2:$A$138,0)),"")</f>
        <v>500</v>
      </c>
      <c r="H49" s="7" t="s">
        <v>18</v>
      </c>
    </row>
    <row r="50" spans="1:8" x14ac:dyDescent="0.25">
      <c r="A50" s="2" t="s">
        <v>17</v>
      </c>
      <c r="B50" s="2" t="s">
        <v>351</v>
      </c>
      <c r="C50" s="2" t="s">
        <v>121</v>
      </c>
      <c r="D50" s="2" t="s">
        <v>352</v>
      </c>
      <c r="E50" s="8">
        <f>IFERROR(INDEX(Items!$E$2:$E$138,MATCH(C50,Items!$A$2:$A$138,0)),"")</f>
        <v>0.05</v>
      </c>
      <c r="F50" s="8" t="str">
        <f>IFERROR(INDEX(Items!$F$2:$F$138,MATCH(C50,Items!$A$2:$A$138,0)),"")</f>
        <v/>
      </c>
      <c r="G50" s="9">
        <f>IFERROR(INDEX(Items!$I$2:$I$138,MATCH(C50,Items!$A$2:$A$138,0)),"")</f>
        <v>1500</v>
      </c>
      <c r="H50" s="7" t="s">
        <v>18</v>
      </c>
    </row>
    <row r="51" spans="1:8" x14ac:dyDescent="0.25">
      <c r="A51" s="2" t="s">
        <v>17</v>
      </c>
      <c r="B51" s="2" t="s">
        <v>351</v>
      </c>
      <c r="C51" s="2" t="s">
        <v>136</v>
      </c>
      <c r="D51" s="2" t="s">
        <v>352</v>
      </c>
      <c r="E51" s="8">
        <f>IFERROR(INDEX(Items!$E$2:$E$138,MATCH(C51,Items!$A$2:$A$138,0)),"")</f>
        <v>0.1</v>
      </c>
      <c r="F51" s="8" t="str">
        <f>IFERROR(INDEX(Items!$F$2:$F$138,MATCH(C51,Items!$A$2:$A$138,0)),"")</f>
        <v/>
      </c>
      <c r="G51" s="9">
        <f>IFERROR(INDEX(Items!$I$2:$I$138,MATCH(C51,Items!$A$2:$A$138,0)),"")</f>
        <v>500</v>
      </c>
      <c r="H51" s="7" t="s">
        <v>18</v>
      </c>
    </row>
    <row r="52" spans="1:8" x14ac:dyDescent="0.25">
      <c r="A52" s="2" t="s">
        <v>26</v>
      </c>
      <c r="B52" s="2" t="s">
        <v>351</v>
      </c>
      <c r="C52" s="2" t="s">
        <v>24</v>
      </c>
      <c r="D52" s="2" t="s">
        <v>352</v>
      </c>
      <c r="E52" s="8">
        <f>IFERROR(INDEX(Items!$E$2:$E$138,MATCH(C52,Items!$A$2:$A$138,0)),"")</f>
        <v>16</v>
      </c>
      <c r="F52" s="8" t="str">
        <f>IFERROR(INDEX(Items!$F$2:$F$138,MATCH(C52,Items!$A$2:$A$138,0)),"")</f>
        <v/>
      </c>
      <c r="G52" s="9">
        <f>IFERROR(INDEX(Items!$I$2:$I$138,MATCH(C52,Items!$A$2:$A$138,0)),"")</f>
        <v>500</v>
      </c>
      <c r="H52" s="7" t="s">
        <v>18</v>
      </c>
    </row>
    <row r="53" spans="1:8" x14ac:dyDescent="0.25">
      <c r="A53" s="2" t="s">
        <v>26</v>
      </c>
      <c r="B53" s="2" t="s">
        <v>351</v>
      </c>
      <c r="C53" s="2" t="s">
        <v>33</v>
      </c>
      <c r="D53" s="2" t="s">
        <v>352</v>
      </c>
      <c r="E53" s="8">
        <f>IFERROR(INDEX(Items!$E$2:$E$138,MATCH(C53,Items!$A$2:$A$138,0)),"")</f>
        <v>6</v>
      </c>
      <c r="F53" s="8" t="str">
        <f>IFERROR(INDEX(Items!$F$2:$F$138,MATCH(C53,Items!$A$2:$A$138,0)),"")</f>
        <v/>
      </c>
      <c r="G53" s="9">
        <f>IFERROR(INDEX(Items!$I$2:$I$138,MATCH(C53,Items!$A$2:$A$138,0)),"")</f>
        <v>1000</v>
      </c>
      <c r="H53" s="7" t="s">
        <v>18</v>
      </c>
    </row>
    <row r="54" spans="1:8" x14ac:dyDescent="0.25">
      <c r="A54" s="2" t="s">
        <v>26</v>
      </c>
      <c r="B54" s="2" t="s">
        <v>351</v>
      </c>
      <c r="C54" s="2" t="s">
        <v>50</v>
      </c>
      <c r="D54" s="2" t="s">
        <v>352</v>
      </c>
      <c r="E54" s="8">
        <f>IFERROR(INDEX(Items!$E$2:$E$138,MATCH(C54,Items!$A$2:$A$138,0)),"")</f>
        <v>8</v>
      </c>
      <c r="F54" s="8" t="str">
        <f>IFERROR(INDEX(Items!$F$2:$F$138,MATCH(C54,Items!$A$2:$A$138,0)),"")</f>
        <v/>
      </c>
      <c r="G54" s="9">
        <f>IFERROR(INDEX(Items!$I$2:$I$138,MATCH(C54,Items!$A$2:$A$138,0)),"")</f>
        <v>500</v>
      </c>
      <c r="H54" s="7" t="s">
        <v>18</v>
      </c>
    </row>
    <row r="55" spans="1:8" x14ac:dyDescent="0.25">
      <c r="A55" s="2" t="s">
        <v>26</v>
      </c>
      <c r="B55" s="2" t="s">
        <v>351</v>
      </c>
      <c r="C55" s="2" t="s">
        <v>54</v>
      </c>
      <c r="D55" s="2" t="s">
        <v>352</v>
      </c>
      <c r="E55" s="8">
        <f>IFERROR(INDEX(Items!$E$2:$E$138,MATCH(C55,Items!$A$2:$A$138,0)),"")</f>
        <v>6</v>
      </c>
      <c r="F55" s="8" t="str">
        <f>IFERROR(INDEX(Items!$F$2:$F$138,MATCH(C55,Items!$A$2:$A$138,0)),"")</f>
        <v/>
      </c>
      <c r="G55" s="9">
        <f>IFERROR(INDEX(Items!$I$2:$I$138,MATCH(C55,Items!$A$2:$A$138,0)),"")</f>
        <v>150</v>
      </c>
      <c r="H55" s="7" t="s">
        <v>18</v>
      </c>
    </row>
    <row r="56" spans="1:8" x14ac:dyDescent="0.25">
      <c r="A56" s="2" t="s">
        <v>26</v>
      </c>
      <c r="B56" s="2" t="s">
        <v>351</v>
      </c>
      <c r="C56" s="2" t="s">
        <v>56</v>
      </c>
      <c r="D56" s="2" t="s">
        <v>352</v>
      </c>
      <c r="E56" s="8">
        <f>IFERROR(INDEX(Items!$E$2:$E$138,MATCH(C56,Items!$A$2:$A$138,0)),"")</f>
        <v>12</v>
      </c>
      <c r="F56" s="8" t="str">
        <f>IFERROR(INDEX(Items!$F$2:$F$138,MATCH(C56,Items!$A$2:$A$138,0)),"")</f>
        <v/>
      </c>
      <c r="G56" s="9">
        <f>IFERROR(INDEX(Items!$I$2:$I$138,MATCH(C56,Items!$A$2:$A$138,0)),"")</f>
        <v>150</v>
      </c>
      <c r="H56" s="7" t="s">
        <v>18</v>
      </c>
    </row>
    <row r="57" spans="1:8" x14ac:dyDescent="0.25">
      <c r="A57" s="2" t="s">
        <v>26</v>
      </c>
      <c r="B57" s="2" t="s">
        <v>351</v>
      </c>
      <c r="C57" s="2" t="s">
        <v>60</v>
      </c>
      <c r="D57" s="2" t="s">
        <v>352</v>
      </c>
      <c r="E57" s="8">
        <f>IFERROR(INDEX(Items!$E$2:$E$138,MATCH(C57,Items!$A$2:$A$138,0)),"")</f>
        <v>0.5</v>
      </c>
      <c r="F57" s="8" t="str">
        <f>IFERROR(INDEX(Items!$F$2:$F$138,MATCH(C57,Items!$A$2:$A$138,0)),"")</f>
        <v/>
      </c>
      <c r="G57" s="9">
        <f>IFERROR(INDEX(Items!$I$2:$I$138,MATCH(C57,Items!$A$2:$A$138,0)),"")</f>
        <v>500</v>
      </c>
      <c r="H57" s="7" t="s">
        <v>18</v>
      </c>
    </row>
    <row r="58" spans="1:8" x14ac:dyDescent="0.25">
      <c r="A58" s="2" t="s">
        <v>26</v>
      </c>
      <c r="B58" s="2" t="s">
        <v>351</v>
      </c>
      <c r="C58" s="2" t="s">
        <v>73</v>
      </c>
      <c r="D58" s="2" t="s">
        <v>352</v>
      </c>
      <c r="E58" s="8">
        <f>IFERROR(INDEX(Items!$E$2:$E$138,MATCH(C58,Items!$A$2:$A$138,0)),"")</f>
        <v>10</v>
      </c>
      <c r="F58" s="8" t="str">
        <f>IFERROR(INDEX(Items!$F$2:$F$138,MATCH(C58,Items!$A$2:$A$138,0)),"")</f>
        <v/>
      </c>
      <c r="G58" s="9">
        <f>IFERROR(INDEX(Items!$I$2:$I$138,MATCH(C58,Items!$A$2:$A$138,0)),"")</f>
        <v>1000</v>
      </c>
      <c r="H58" s="7" t="s">
        <v>18</v>
      </c>
    </row>
    <row r="59" spans="1:8" x14ac:dyDescent="0.25">
      <c r="A59" s="2" t="s">
        <v>26</v>
      </c>
      <c r="B59" s="2" t="s">
        <v>351</v>
      </c>
      <c r="C59" s="2" t="s">
        <v>79</v>
      </c>
      <c r="D59" s="2" t="s">
        <v>352</v>
      </c>
      <c r="E59" s="8">
        <f>IFERROR(INDEX(Items!$E$2:$E$138,MATCH(C59,Items!$A$2:$A$138,0)),"")</f>
        <v>0.6</v>
      </c>
      <c r="F59" s="8" t="str">
        <f>IFERROR(INDEX(Items!$F$2:$F$138,MATCH(C59,Items!$A$2:$A$138,0)),"")</f>
        <v/>
      </c>
      <c r="G59" s="9">
        <f>IFERROR(INDEX(Items!$I$2:$I$138,MATCH(C59,Items!$A$2:$A$138,0)),"")</f>
        <v>150</v>
      </c>
      <c r="H59" s="7" t="s">
        <v>18</v>
      </c>
    </row>
    <row r="60" spans="1:8" x14ac:dyDescent="0.25">
      <c r="A60" s="2" t="s">
        <v>26</v>
      </c>
      <c r="B60" s="2" t="s">
        <v>351</v>
      </c>
      <c r="C60" s="2" t="s">
        <v>83</v>
      </c>
      <c r="D60" s="2" t="s">
        <v>352</v>
      </c>
      <c r="E60" s="8">
        <f>IFERROR(INDEX(Items!$E$2:$E$138,MATCH(C60,Items!$A$2:$A$138,0)),"")</f>
        <v>8</v>
      </c>
      <c r="F60" s="8" t="str">
        <f>IFERROR(INDEX(Items!$F$2:$F$138,MATCH(C60,Items!$A$2:$A$138,0)),"")</f>
        <v/>
      </c>
      <c r="G60" s="9">
        <f>IFERROR(INDEX(Items!$I$2:$I$138,MATCH(C60,Items!$A$2:$A$138,0)),"")</f>
        <v>500</v>
      </c>
      <c r="H60" s="7" t="s">
        <v>18</v>
      </c>
    </row>
    <row r="61" spans="1:8" x14ac:dyDescent="0.25">
      <c r="A61" s="2" t="s">
        <v>26</v>
      </c>
      <c r="B61" s="2" t="s">
        <v>351</v>
      </c>
      <c r="C61" s="2" t="s">
        <v>93</v>
      </c>
      <c r="D61" s="2" t="s">
        <v>352</v>
      </c>
      <c r="E61" s="8">
        <f>IFERROR(INDEX(Items!$E$2:$E$138,MATCH(C61,Items!$A$2:$A$138,0)),"")</f>
        <v>0.6</v>
      </c>
      <c r="F61" s="8" t="str">
        <f>IFERROR(INDEX(Items!$F$2:$F$138,MATCH(C61,Items!$A$2:$A$138,0)),"")</f>
        <v/>
      </c>
      <c r="G61" s="9">
        <f>IFERROR(INDEX(Items!$I$2:$I$138,MATCH(C61,Items!$A$2:$A$138,0)),"")</f>
        <v>500</v>
      </c>
      <c r="H61" s="7" t="s">
        <v>18</v>
      </c>
    </row>
    <row r="62" spans="1:8" x14ac:dyDescent="0.25">
      <c r="A62" s="2" t="s">
        <v>26</v>
      </c>
      <c r="B62" s="2" t="s">
        <v>351</v>
      </c>
      <c r="C62" s="2" t="s">
        <v>99</v>
      </c>
      <c r="D62" s="2" t="s">
        <v>352</v>
      </c>
      <c r="E62" s="8">
        <f>IFERROR(INDEX(Items!$E$2:$E$138,MATCH(C62,Items!$A$2:$A$138,0)),"")</f>
        <v>4</v>
      </c>
      <c r="F62" s="8" t="str">
        <f>IFERROR(INDEX(Items!$F$2:$F$138,MATCH(C62,Items!$A$2:$A$138,0)),"")</f>
        <v/>
      </c>
      <c r="G62" s="9">
        <f>IFERROR(INDEX(Items!$I$2:$I$138,MATCH(C62,Items!$A$2:$A$138,0)),"")</f>
        <v>1000</v>
      </c>
      <c r="H62" s="7" t="s">
        <v>18</v>
      </c>
    </row>
    <row r="63" spans="1:8" x14ac:dyDescent="0.25">
      <c r="A63" s="2" t="s">
        <v>26</v>
      </c>
      <c r="B63" s="2" t="s">
        <v>351</v>
      </c>
      <c r="C63" s="2" t="s">
        <v>119</v>
      </c>
      <c r="D63" s="2" t="s">
        <v>352</v>
      </c>
      <c r="E63" s="8">
        <f>IFERROR(INDEX(Items!$E$2:$E$138,MATCH(C63,Items!$A$2:$A$138,0)),"")</f>
        <v>6</v>
      </c>
      <c r="F63" s="8" t="str">
        <f>IFERROR(INDEX(Items!$F$2:$F$138,MATCH(C63,Items!$A$2:$A$138,0)),"")</f>
        <v/>
      </c>
      <c r="G63" s="9">
        <f>IFERROR(INDEX(Items!$I$2:$I$138,MATCH(C63,Items!$A$2:$A$138,0)),"")</f>
        <v>500</v>
      </c>
      <c r="H63" s="7" t="s">
        <v>18</v>
      </c>
    </row>
    <row r="64" spans="1:8" x14ac:dyDescent="0.25">
      <c r="A64" s="2" t="s">
        <v>26</v>
      </c>
      <c r="B64" s="2" t="s">
        <v>351</v>
      </c>
      <c r="C64" s="2" t="s">
        <v>128</v>
      </c>
      <c r="D64" s="2" t="s">
        <v>352</v>
      </c>
      <c r="E64" s="8">
        <f>IFERROR(INDEX(Items!$E$2:$E$138,MATCH(C64,Items!$A$2:$A$138,0)),"")</f>
        <v>8</v>
      </c>
      <c r="F64" s="8" t="str">
        <f>IFERROR(INDEX(Items!$F$2:$F$138,MATCH(C64,Items!$A$2:$A$138,0)),"")</f>
        <v/>
      </c>
      <c r="G64" s="9">
        <f>IFERROR(INDEX(Items!$I$2:$I$138,MATCH(C64,Items!$A$2:$A$138,0)),"")</f>
        <v>1000</v>
      </c>
      <c r="H64" s="7" t="s">
        <v>18</v>
      </c>
    </row>
    <row r="65" spans="1:8" x14ac:dyDescent="0.25">
      <c r="A65" s="2" t="s">
        <v>26</v>
      </c>
      <c r="B65" s="2" t="s">
        <v>351</v>
      </c>
      <c r="C65" s="2" t="s">
        <v>130</v>
      </c>
      <c r="D65" s="2" t="s">
        <v>352</v>
      </c>
      <c r="E65" s="8">
        <f>IFERROR(INDEX(Items!$E$2:$E$138,MATCH(C65,Items!$A$2:$A$138,0)),"")</f>
        <v>40</v>
      </c>
      <c r="F65" s="8" t="str">
        <f>IFERROR(INDEX(Items!$F$2:$F$138,MATCH(C65,Items!$A$2:$A$138,0)),"")</f>
        <v/>
      </c>
      <c r="G65" s="9">
        <f>IFERROR(INDEX(Items!$I$2:$I$138,MATCH(C65,Items!$A$2:$A$138,0)),"")</f>
        <v>150</v>
      </c>
      <c r="H65" s="7" t="s">
        <v>18</v>
      </c>
    </row>
    <row r="66" spans="1:8" x14ac:dyDescent="0.25">
      <c r="A66" s="2" t="s">
        <v>26</v>
      </c>
      <c r="B66" s="2" t="s">
        <v>351</v>
      </c>
      <c r="C66" s="2" t="s">
        <v>132</v>
      </c>
      <c r="D66" s="2" t="s">
        <v>352</v>
      </c>
      <c r="E66" s="8">
        <f>IFERROR(INDEX(Items!$E$2:$E$138,MATCH(C66,Items!$A$2:$A$138,0)),"")</f>
        <v>450</v>
      </c>
      <c r="F66" s="8" t="str">
        <f>IFERROR(INDEX(Items!$F$2:$F$138,MATCH(C66,Items!$A$2:$A$138,0)),"")</f>
        <v/>
      </c>
      <c r="G66" s="9">
        <f>IFERROR(INDEX(Items!$I$2:$I$138,MATCH(C66,Items!$A$2:$A$138,0)),"")</f>
        <v>150</v>
      </c>
      <c r="H66" s="7" t="s">
        <v>18</v>
      </c>
    </row>
    <row r="67" spans="1:8" x14ac:dyDescent="0.25">
      <c r="A67" s="2" t="s">
        <v>238</v>
      </c>
      <c r="B67" s="2" t="s">
        <v>353</v>
      </c>
      <c r="C67" s="2" t="s">
        <v>150</v>
      </c>
      <c r="D67" s="2" t="s">
        <v>354</v>
      </c>
      <c r="E67" s="8">
        <f>IFERROR(INDEX(Items!$E$2:$E$138,MATCH(C67,Items!$A$2:$A$138,0)),"")</f>
        <v>350</v>
      </c>
      <c r="F67" s="8">
        <f>IFERROR(INDEX(Items!$F$2:$F$138,MATCH(C67,Items!$A$2:$A$138,0)),"")</f>
        <v>799</v>
      </c>
      <c r="G67" s="9">
        <f>IFERROR(INDEX(Items!$I$2:$I$138,MATCH(C67,Items!$A$2:$A$138,0)),"")</f>
        <v>300</v>
      </c>
      <c r="H67" s="7" t="s">
        <v>19</v>
      </c>
    </row>
    <row r="68" spans="1:8" x14ac:dyDescent="0.25">
      <c r="A68" s="2" t="s">
        <v>238</v>
      </c>
      <c r="B68" s="2" t="s">
        <v>353</v>
      </c>
      <c r="C68" s="2" t="s">
        <v>155</v>
      </c>
      <c r="D68" s="2" t="s">
        <v>354</v>
      </c>
      <c r="E68" s="8">
        <f>IFERROR(INDEX(Items!$E$2:$E$138,MATCH(C68,Items!$A$2:$A$138,0)),"")</f>
        <v>150</v>
      </c>
      <c r="F68" s="8">
        <f>IFERROR(INDEX(Items!$F$2:$F$138,MATCH(C68,Items!$A$2:$A$138,0)),"")</f>
        <v>324</v>
      </c>
      <c r="G68" s="9">
        <f>IFERROR(INDEX(Items!$I$2:$I$138,MATCH(C68,Items!$A$2:$A$138,0)),"")</f>
        <v>300</v>
      </c>
      <c r="H68" s="7" t="s">
        <v>19</v>
      </c>
    </row>
    <row r="69" spans="1:8" x14ac:dyDescent="0.25">
      <c r="A69" s="2" t="s">
        <v>238</v>
      </c>
      <c r="B69" s="2" t="s">
        <v>353</v>
      </c>
      <c r="C69" s="2" t="s">
        <v>236</v>
      </c>
      <c r="D69" s="2" t="s">
        <v>352</v>
      </c>
      <c r="E69" s="8">
        <f>IFERROR(INDEX(Items!$E$2:$E$138,MATCH(C69,Items!$A$2:$A$138,0)),"")</f>
        <v>5</v>
      </c>
      <c r="F69" s="8">
        <f>IFERROR(INDEX(Items!$F$2:$F$138,MATCH(C69,Items!$A$2:$A$138,0)),"")</f>
        <v>18</v>
      </c>
      <c r="G69" s="9">
        <f>IFERROR(INDEX(Items!$I$2:$I$138,MATCH(C69,Items!$A$2:$A$138,0)),"")</f>
        <v>300</v>
      </c>
      <c r="H69" s="7" t="s">
        <v>19</v>
      </c>
    </row>
    <row r="70" spans="1:8" x14ac:dyDescent="0.25">
      <c r="A70" s="2" t="s">
        <v>238</v>
      </c>
      <c r="B70" s="2" t="s">
        <v>353</v>
      </c>
      <c r="C70" s="2" t="s">
        <v>239</v>
      </c>
      <c r="D70" s="2" t="s">
        <v>352</v>
      </c>
      <c r="E70" s="8">
        <f>IFERROR(INDEX(Items!$E$2:$E$138,MATCH(C70,Items!$A$2:$A$138,0)),"")</f>
        <v>7</v>
      </c>
      <c r="F70" s="8">
        <f>IFERROR(INDEX(Items!$F$2:$F$138,MATCH(C70,Items!$A$2:$A$138,0)),"")</f>
        <v>32</v>
      </c>
      <c r="G70" s="9">
        <f>IFERROR(INDEX(Items!$I$2:$I$138,MATCH(C70,Items!$A$2:$A$138,0)),"")</f>
        <v>300</v>
      </c>
      <c r="H70" s="7" t="s">
        <v>19</v>
      </c>
    </row>
    <row r="71" spans="1:8" x14ac:dyDescent="0.25">
      <c r="A71" s="2" t="s">
        <v>238</v>
      </c>
      <c r="B71" s="2" t="s">
        <v>353</v>
      </c>
      <c r="C71" s="2" t="s">
        <v>249</v>
      </c>
      <c r="D71" s="2" t="s">
        <v>352</v>
      </c>
      <c r="E71" s="8">
        <f>IFERROR(INDEX(Items!$E$2:$E$138,MATCH(C71,Items!$A$2:$A$138,0)),"")</f>
        <v>91</v>
      </c>
      <c r="F71" s="8">
        <f>IFERROR(INDEX(Items!$F$2:$F$138,MATCH(C71,Items!$A$2:$A$138,0)),"")</f>
        <v>160</v>
      </c>
      <c r="G71" s="9">
        <f>IFERROR(INDEX(Items!$I$2:$I$138,MATCH(C71,Items!$A$2:$A$138,0)),"")</f>
        <v>150</v>
      </c>
      <c r="H71" s="7" t="s">
        <v>19</v>
      </c>
    </row>
    <row r="72" spans="1:8" x14ac:dyDescent="0.25">
      <c r="A72" s="2" t="s">
        <v>238</v>
      </c>
      <c r="B72" s="2" t="s">
        <v>353</v>
      </c>
      <c r="C72" s="2" t="s">
        <v>252</v>
      </c>
      <c r="D72" s="2" t="s">
        <v>354</v>
      </c>
      <c r="E72" s="8">
        <f>IFERROR(INDEX(Items!$E$2:$E$138,MATCH(C72,Items!$A$2:$A$138,0)),"")</f>
        <v>768</v>
      </c>
      <c r="F72" s="8">
        <f>IFERROR(INDEX(Items!$F$2:$F$138,MATCH(C72,Items!$A$2:$A$138,0)),"")</f>
        <v>1270</v>
      </c>
      <c r="G72" s="9">
        <f>IFERROR(INDEX(Items!$I$2:$I$138,MATCH(C72,Items!$A$2:$A$138,0)),"")</f>
        <v>150</v>
      </c>
      <c r="H72" s="7" t="s">
        <v>19</v>
      </c>
    </row>
    <row r="73" spans="1:8" x14ac:dyDescent="0.25">
      <c r="A73" s="2" t="s">
        <v>238</v>
      </c>
      <c r="B73" s="2" t="s">
        <v>353</v>
      </c>
      <c r="C73" s="2" t="s">
        <v>254</v>
      </c>
      <c r="D73" s="2" t="s">
        <v>352</v>
      </c>
      <c r="E73" s="8">
        <f>IFERROR(INDEX(Items!$E$2:$E$138,MATCH(C73,Items!$A$2:$A$138,0)),"")</f>
        <v>45</v>
      </c>
      <c r="F73" s="8">
        <f>IFERROR(INDEX(Items!$F$2:$F$138,MATCH(C73,Items!$A$2:$A$138,0)),"")</f>
        <v>90</v>
      </c>
      <c r="G73" s="9">
        <f>IFERROR(INDEX(Items!$I$2:$I$138,MATCH(C73,Items!$A$2:$A$138,0)),"")</f>
        <v>300</v>
      </c>
      <c r="H73" s="7" t="s">
        <v>19</v>
      </c>
    </row>
    <row r="74" spans="1:8" x14ac:dyDescent="0.25">
      <c r="A74" s="2" t="s">
        <v>238</v>
      </c>
      <c r="B74" s="2" t="s">
        <v>353</v>
      </c>
      <c r="C74" s="2" t="s">
        <v>262</v>
      </c>
      <c r="D74" s="2" t="s">
        <v>352</v>
      </c>
      <c r="E74" s="8">
        <f>IFERROR(INDEX(Items!$E$2:$E$138,MATCH(C74,Items!$A$2:$A$138,0)),"")</f>
        <v>10</v>
      </c>
      <c r="F74" s="8">
        <f>IFERROR(INDEX(Items!$F$2:$F$138,MATCH(C74,Items!$A$2:$A$138,0)),"")</f>
        <v>25</v>
      </c>
      <c r="G74" s="9">
        <f>IFERROR(INDEX(Items!$I$2:$I$138,MATCH(C74,Items!$A$2:$A$138,0)),"")</f>
        <v>300</v>
      </c>
      <c r="H74" s="7" t="s">
        <v>19</v>
      </c>
    </row>
    <row r="75" spans="1:8" x14ac:dyDescent="0.25">
      <c r="A75" s="2" t="s">
        <v>238</v>
      </c>
      <c r="B75" s="2" t="s">
        <v>353</v>
      </c>
      <c r="C75" s="2" t="s">
        <v>264</v>
      </c>
      <c r="D75" s="2" t="s">
        <v>352</v>
      </c>
      <c r="E75" s="8">
        <f>IFERROR(INDEX(Items!$E$2:$E$138,MATCH(C75,Items!$A$2:$A$138,0)),"")</f>
        <v>79</v>
      </c>
      <c r="F75" s="8">
        <f>IFERROR(INDEX(Items!$F$2:$F$138,MATCH(C75,Items!$A$2:$A$138,0)),"")</f>
        <v>159</v>
      </c>
      <c r="G75" s="9">
        <f>IFERROR(INDEX(Items!$I$2:$I$138,MATCH(C75,Items!$A$2:$A$138,0)),"")</f>
        <v>600</v>
      </c>
      <c r="H75" s="7" t="s">
        <v>19</v>
      </c>
    </row>
    <row r="76" spans="1:8" x14ac:dyDescent="0.25">
      <c r="A76" s="2" t="s">
        <v>238</v>
      </c>
      <c r="B76" s="2" t="s">
        <v>353</v>
      </c>
      <c r="C76" s="2" t="s">
        <v>267</v>
      </c>
      <c r="D76" s="2" t="s">
        <v>352</v>
      </c>
      <c r="E76" s="8">
        <f>IFERROR(INDEX(Items!$E$2:$E$138,MATCH(C76,Items!$A$2:$A$138,0)),"")</f>
        <v>11.5</v>
      </c>
      <c r="F76" s="8">
        <f>IFERROR(INDEX(Items!$F$2:$F$138,MATCH(C76,Items!$A$2:$A$138,0)),"")</f>
        <v>28</v>
      </c>
      <c r="G76" s="9">
        <f>IFERROR(INDEX(Items!$I$2:$I$138,MATCH(C76,Items!$A$2:$A$138,0)),"")</f>
        <v>300</v>
      </c>
      <c r="H76" s="7" t="s">
        <v>19</v>
      </c>
    </row>
    <row r="77" spans="1:8" x14ac:dyDescent="0.25">
      <c r="A77" s="2" t="s">
        <v>238</v>
      </c>
      <c r="B77" s="2" t="s">
        <v>353</v>
      </c>
      <c r="C77" s="2" t="s">
        <v>341</v>
      </c>
      <c r="D77" s="2" t="s">
        <v>352</v>
      </c>
      <c r="E77" s="8">
        <f>IFERROR(INDEX(Items!$E$2:$E$138,MATCH(C77,Items!$A$2:$A$138,0)),"")</f>
        <v>0.16</v>
      </c>
      <c r="F77" s="8" t="str">
        <f>IFERROR(INDEX(Items!$F$2:$F$138,MATCH(C77,Items!$A$2:$A$138,0)),"")</f>
        <v/>
      </c>
      <c r="G77" s="9">
        <f>IFERROR(INDEX(Items!$I$2:$I$138,MATCH(C77,Items!$A$2:$A$138,0)),"")</f>
        <v>1000</v>
      </c>
      <c r="H77" s="7" t="s">
        <v>19</v>
      </c>
    </row>
    <row r="78" spans="1:8" x14ac:dyDescent="0.25">
      <c r="A78" s="2" t="s">
        <v>238</v>
      </c>
      <c r="B78" s="2" t="s">
        <v>353</v>
      </c>
      <c r="C78" s="2" t="s">
        <v>271</v>
      </c>
      <c r="D78" s="2" t="s">
        <v>352</v>
      </c>
      <c r="E78" s="8">
        <f>IFERROR(INDEX(Items!$E$2:$E$138,MATCH(C78,Items!$A$2:$A$138,0)),"")</f>
        <v>2.5</v>
      </c>
      <c r="F78" s="8">
        <f>IFERROR(INDEX(Items!$F$2:$F$138,MATCH(C78,Items!$A$2:$A$138,0)),"")</f>
        <v>6</v>
      </c>
      <c r="G78" s="9">
        <f>IFERROR(INDEX(Items!$I$2:$I$138,MATCH(C78,Items!$A$2:$A$138,0)),"")</f>
        <v>450</v>
      </c>
      <c r="H78" s="7" t="s">
        <v>19</v>
      </c>
    </row>
    <row r="79" spans="1:8" x14ac:dyDescent="0.25">
      <c r="A79" s="2" t="s">
        <v>238</v>
      </c>
      <c r="B79" s="2" t="s">
        <v>353</v>
      </c>
      <c r="C79" s="2" t="s">
        <v>278</v>
      </c>
      <c r="D79" s="2" t="s">
        <v>352</v>
      </c>
      <c r="E79" s="8">
        <f>IFERROR(INDEX(Items!$E$2:$E$138,MATCH(C79,Items!$A$2:$A$138,0)),"")</f>
        <v>200</v>
      </c>
      <c r="F79" s="8">
        <f>IFERROR(INDEX(Items!$F$2:$F$138,MATCH(C79,Items!$A$2:$A$138,0)),"")</f>
        <v>349</v>
      </c>
      <c r="G79" s="9">
        <f>IFERROR(INDEX(Items!$I$2:$I$138,MATCH(C79,Items!$A$2:$A$138,0)),"")</f>
        <v>600</v>
      </c>
      <c r="H79" s="7" t="s">
        <v>19</v>
      </c>
    </row>
    <row r="80" spans="1:8" x14ac:dyDescent="0.25">
      <c r="A80" s="2" t="s">
        <v>238</v>
      </c>
      <c r="B80" s="2" t="s">
        <v>353</v>
      </c>
      <c r="C80" s="2" t="s">
        <v>286</v>
      </c>
      <c r="D80" s="2" t="s">
        <v>352</v>
      </c>
      <c r="E80" s="8">
        <f>IFERROR(INDEX(Items!$E$2:$E$138,MATCH(C80,Items!$A$2:$A$138,0)),"")</f>
        <v>0.5</v>
      </c>
      <c r="F80" s="8">
        <f>IFERROR(INDEX(Items!$F$2:$F$138,MATCH(C80,Items!$A$2:$A$138,0)),"")</f>
        <v>3</v>
      </c>
      <c r="G80" s="9">
        <f>IFERROR(INDEX(Items!$I$2:$I$138,MATCH(C80,Items!$A$2:$A$138,0)),"")</f>
        <v>500</v>
      </c>
      <c r="H80" s="7" t="s">
        <v>19</v>
      </c>
    </row>
    <row r="81" spans="1:8" x14ac:dyDescent="0.25">
      <c r="A81" s="2" t="s">
        <v>238</v>
      </c>
      <c r="B81" s="2" t="s">
        <v>353</v>
      </c>
      <c r="C81" s="2" t="s">
        <v>290</v>
      </c>
      <c r="D81" s="2" t="s">
        <v>352</v>
      </c>
      <c r="E81" s="8">
        <f>IFERROR(INDEX(Items!$E$2:$E$138,MATCH(C81,Items!$A$2:$A$138,0)),"")</f>
        <v>18</v>
      </c>
      <c r="F81" s="8">
        <f>IFERROR(INDEX(Items!$F$2:$F$138,MATCH(C81,Items!$A$2:$A$138,0)),"")</f>
        <v>44</v>
      </c>
      <c r="G81" s="9">
        <f>IFERROR(INDEX(Items!$I$2:$I$138,MATCH(C81,Items!$A$2:$A$138,0)),"")</f>
        <v>300</v>
      </c>
      <c r="H81" s="7" t="s">
        <v>19</v>
      </c>
    </row>
    <row r="82" spans="1:8" x14ac:dyDescent="0.25">
      <c r="A82" s="2" t="s">
        <v>238</v>
      </c>
      <c r="B82" s="2" t="s">
        <v>353</v>
      </c>
      <c r="C82" s="2" t="s">
        <v>292</v>
      </c>
      <c r="D82" s="2" t="s">
        <v>352</v>
      </c>
      <c r="E82" s="8">
        <f>IFERROR(INDEX(Items!$E$2:$E$138,MATCH(C82,Items!$A$2:$A$138,0)),"")</f>
        <v>7</v>
      </c>
      <c r="F82" s="8">
        <f>IFERROR(INDEX(Items!$F$2:$F$138,MATCH(C82,Items!$A$2:$A$138,0)),"")</f>
        <v>24</v>
      </c>
      <c r="G82" s="9">
        <f>IFERROR(INDEX(Items!$I$2:$I$138,MATCH(C82,Items!$A$2:$A$138,0)),"")</f>
        <v>300</v>
      </c>
      <c r="H82" s="7" t="s">
        <v>19</v>
      </c>
    </row>
    <row r="83" spans="1:8" x14ac:dyDescent="0.25">
      <c r="A83" s="2" t="s">
        <v>238</v>
      </c>
      <c r="B83" s="2" t="s">
        <v>353</v>
      </c>
      <c r="C83" s="2" t="s">
        <v>296</v>
      </c>
      <c r="D83" s="2" t="s">
        <v>352</v>
      </c>
      <c r="E83" s="8">
        <f>IFERROR(INDEX(Items!$E$2:$E$138,MATCH(C83,Items!$A$2:$A$138,0)),"")</f>
        <v>5.5</v>
      </c>
      <c r="F83" s="8">
        <f>IFERROR(INDEX(Items!$F$2:$F$138,MATCH(C83,Items!$A$2:$A$138,0)),"")</f>
        <v>14</v>
      </c>
      <c r="G83" s="9">
        <f>IFERROR(INDEX(Items!$I$2:$I$138,MATCH(C83,Items!$A$2:$A$138,0)),"")</f>
        <v>450</v>
      </c>
      <c r="H83" s="7" t="s">
        <v>19</v>
      </c>
    </row>
    <row r="84" spans="1:8" x14ac:dyDescent="0.25">
      <c r="A84" s="2" t="s">
        <v>238</v>
      </c>
      <c r="B84" s="2" t="s">
        <v>353</v>
      </c>
      <c r="C84" s="2" t="s">
        <v>298</v>
      </c>
      <c r="D84" s="2" t="s">
        <v>354</v>
      </c>
      <c r="E84" s="8">
        <f>IFERROR(INDEX(Items!$E$2:$E$138,MATCH(C84,Items!$A$2:$A$138,0)),"")</f>
        <v>450</v>
      </c>
      <c r="F84" s="8">
        <f>IFERROR(INDEX(Items!$F$2:$F$138,MATCH(C84,Items!$A$2:$A$138,0)),"")</f>
        <v>999</v>
      </c>
      <c r="G84" s="9">
        <f>IFERROR(INDEX(Items!$I$2:$I$138,MATCH(C84,Items!$A$2:$A$138,0)),"")</f>
        <v>300</v>
      </c>
      <c r="H84" s="7" t="s">
        <v>19</v>
      </c>
    </row>
    <row r="85" spans="1:8" x14ac:dyDescent="0.25">
      <c r="A85" s="2" t="s">
        <v>238</v>
      </c>
      <c r="B85" s="2" t="s">
        <v>353</v>
      </c>
      <c r="C85" s="2" t="s">
        <v>300</v>
      </c>
      <c r="D85" s="2" t="s">
        <v>354</v>
      </c>
      <c r="E85" s="8">
        <f>IFERROR(INDEX(Items!$E$2:$E$138,MATCH(C85,Items!$A$2:$A$138,0)),"")</f>
        <v>250</v>
      </c>
      <c r="F85" s="8">
        <f>IFERROR(INDEX(Items!$F$2:$F$138,MATCH(C85,Items!$A$2:$A$138,0)),"")</f>
        <v>399</v>
      </c>
      <c r="G85" s="9">
        <f>IFERROR(INDEX(Items!$I$2:$I$138,MATCH(C85,Items!$A$2:$A$138,0)),"")</f>
        <v>300</v>
      </c>
      <c r="H85" s="7" t="s">
        <v>19</v>
      </c>
    </row>
    <row r="86" spans="1:8" x14ac:dyDescent="0.25">
      <c r="A86" s="2" t="s">
        <v>177</v>
      </c>
      <c r="B86" s="2" t="s">
        <v>353</v>
      </c>
      <c r="C86" s="2" t="s">
        <v>175</v>
      </c>
      <c r="D86" s="2" t="s">
        <v>352</v>
      </c>
      <c r="E86" s="8">
        <f>IFERROR(INDEX(Items!$E$2:$E$138,MATCH(C86,Items!$A$2:$A$138,0)),"")</f>
        <v>4.75</v>
      </c>
      <c r="F86" s="8">
        <f>IFERROR(INDEX(Items!$F$2:$F$138,MATCH(C86,Items!$A$2:$A$138,0)),"")</f>
        <v>12.5</v>
      </c>
      <c r="G86" s="9">
        <f>IFERROR(INDEX(Items!$I$2:$I$138,MATCH(C86,Items!$A$2:$A$138,0)),"")</f>
        <v>500</v>
      </c>
      <c r="H86" s="7" t="s">
        <v>19</v>
      </c>
    </row>
    <row r="87" spans="1:8" x14ac:dyDescent="0.25">
      <c r="A87" s="2" t="s">
        <v>177</v>
      </c>
      <c r="B87" s="2" t="s">
        <v>353</v>
      </c>
      <c r="C87" s="2" t="s">
        <v>182</v>
      </c>
      <c r="D87" s="2" t="s">
        <v>352</v>
      </c>
      <c r="E87" s="8">
        <f>IFERROR(INDEX(Items!$E$2:$E$138,MATCH(C87,Items!$A$2:$A$138,0)),"")</f>
        <v>5.2</v>
      </c>
      <c r="F87" s="8">
        <f>IFERROR(INDEX(Items!$F$2:$F$138,MATCH(C87,Items!$A$2:$A$138,0)),"")</f>
        <v>14</v>
      </c>
      <c r="G87" s="9">
        <f>IFERROR(INDEX(Items!$I$2:$I$138,MATCH(C87,Items!$A$2:$A$138,0)),"")</f>
        <v>500</v>
      </c>
      <c r="H87" s="7" t="s">
        <v>19</v>
      </c>
    </row>
    <row r="88" spans="1:8" x14ac:dyDescent="0.25">
      <c r="A88" s="2" t="s">
        <v>177</v>
      </c>
      <c r="B88" s="2" t="s">
        <v>353</v>
      </c>
      <c r="C88" s="2" t="s">
        <v>208</v>
      </c>
      <c r="D88" s="2" t="s">
        <v>352</v>
      </c>
      <c r="E88" s="8">
        <f>IFERROR(INDEX(Items!$E$2:$E$138,MATCH(C88,Items!$A$2:$A$138,0)),"")</f>
        <v>2.91</v>
      </c>
      <c r="F88" s="8">
        <f>IFERROR(INDEX(Items!$F$2:$F$138,MATCH(C88,Items!$A$2:$A$138,0)),"")</f>
        <v>7.2</v>
      </c>
      <c r="G88" s="9">
        <f>IFERROR(INDEX(Items!$I$2:$I$138,MATCH(C88,Items!$A$2:$A$138,0)),"")</f>
        <v>500</v>
      </c>
      <c r="H88" s="7" t="s">
        <v>19</v>
      </c>
    </row>
    <row r="89" spans="1:8" x14ac:dyDescent="0.25">
      <c r="A89" s="2" t="s">
        <v>177</v>
      </c>
      <c r="B89" s="2" t="s">
        <v>353</v>
      </c>
      <c r="C89" s="2" t="s">
        <v>211</v>
      </c>
      <c r="D89" s="2" t="s">
        <v>352</v>
      </c>
      <c r="E89" s="8">
        <f>IFERROR(INDEX(Items!$E$2:$E$138,MATCH(C89,Items!$A$2:$A$138,0)),"")</f>
        <v>0.9</v>
      </c>
      <c r="F89" s="8">
        <f>IFERROR(INDEX(Items!$F$2:$F$138,MATCH(C89,Items!$A$2:$A$138,0)),"")</f>
        <v>3.9</v>
      </c>
      <c r="G89" s="9">
        <f>IFERROR(INDEX(Items!$I$2:$I$138,MATCH(C89,Items!$A$2:$A$138,0)),"")</f>
        <v>500</v>
      </c>
      <c r="H89" s="7" t="s">
        <v>19</v>
      </c>
    </row>
    <row r="90" spans="1:8" x14ac:dyDescent="0.25">
      <c r="A90" s="2" t="s">
        <v>177</v>
      </c>
      <c r="B90" s="2" t="s">
        <v>353</v>
      </c>
      <c r="C90" s="2" t="s">
        <v>214</v>
      </c>
      <c r="D90" s="2" t="s">
        <v>352</v>
      </c>
      <c r="E90" s="8">
        <f>IFERROR(INDEX(Items!$E$2:$E$138,MATCH(C90,Items!$A$2:$A$138,0)),"")</f>
        <v>0.9</v>
      </c>
      <c r="F90" s="8">
        <f>IFERROR(INDEX(Items!$F$2:$F$138,MATCH(C90,Items!$A$2:$A$138,0)),"")</f>
        <v>3.9</v>
      </c>
      <c r="G90" s="9">
        <f>IFERROR(INDEX(Items!$I$2:$I$138,MATCH(C90,Items!$A$2:$A$138,0)),"")</f>
        <v>500</v>
      </c>
      <c r="H90" s="7" t="s">
        <v>19</v>
      </c>
    </row>
    <row r="91" spans="1:8" x14ac:dyDescent="0.25">
      <c r="A91" s="2" t="s">
        <v>177</v>
      </c>
      <c r="B91" s="2" t="s">
        <v>353</v>
      </c>
      <c r="C91" s="2" t="s">
        <v>216</v>
      </c>
      <c r="D91" s="2" t="s">
        <v>352</v>
      </c>
      <c r="E91" s="8">
        <f>IFERROR(INDEX(Items!$E$2:$E$138,MATCH(C91,Items!$A$2:$A$138,0)),"")</f>
        <v>2.1</v>
      </c>
      <c r="F91" s="8">
        <f>IFERROR(INDEX(Items!$F$2:$F$138,MATCH(C91,Items!$A$2:$A$138,0)),"")</f>
        <v>5.2</v>
      </c>
      <c r="G91" s="9">
        <f>IFERROR(INDEX(Items!$I$2:$I$138,MATCH(C91,Items!$A$2:$A$138,0)),"")</f>
        <v>500</v>
      </c>
      <c r="H91" s="7" t="s">
        <v>19</v>
      </c>
    </row>
    <row r="92" spans="1:8" x14ac:dyDescent="0.25">
      <c r="A92" s="2" t="s">
        <v>177</v>
      </c>
      <c r="B92" s="2" t="s">
        <v>353</v>
      </c>
      <c r="C92" s="2" t="s">
        <v>218</v>
      </c>
      <c r="D92" s="2" t="s">
        <v>352</v>
      </c>
      <c r="E92" s="8">
        <f>IFERROR(INDEX(Items!$E$2:$E$138,MATCH(C92,Items!$A$2:$A$138,0)),"")</f>
        <v>1.52</v>
      </c>
      <c r="F92" s="8">
        <f>IFERROR(INDEX(Items!$F$2:$F$138,MATCH(C92,Items!$A$2:$A$138,0)),"")</f>
        <v>3.8</v>
      </c>
      <c r="G92" s="9">
        <f>IFERROR(INDEX(Items!$I$2:$I$138,MATCH(C92,Items!$A$2:$A$138,0)),"")</f>
        <v>500</v>
      </c>
      <c r="H92" s="7" t="s">
        <v>19</v>
      </c>
    </row>
    <row r="93" spans="1:8" x14ac:dyDescent="0.25">
      <c r="A93" s="2" t="s">
        <v>177</v>
      </c>
      <c r="B93" s="2" t="s">
        <v>353</v>
      </c>
      <c r="C93" s="2" t="s">
        <v>220</v>
      </c>
      <c r="D93" s="2" t="s">
        <v>352</v>
      </c>
      <c r="E93" s="8">
        <f>IFERROR(INDEX(Items!$E$2:$E$138,MATCH(C93,Items!$A$2:$A$138,0)),"")</f>
        <v>0.9</v>
      </c>
      <c r="F93" s="8">
        <f>IFERROR(INDEX(Items!$F$2:$F$138,MATCH(C93,Items!$A$2:$A$138,0)),"")</f>
        <v>3.9</v>
      </c>
      <c r="G93" s="9">
        <f>IFERROR(INDEX(Items!$I$2:$I$138,MATCH(C93,Items!$A$2:$A$138,0)),"")</f>
        <v>500</v>
      </c>
      <c r="H93" s="7" t="s">
        <v>19</v>
      </c>
    </row>
    <row r="94" spans="1:8" x14ac:dyDescent="0.25">
      <c r="A94" s="2" t="s">
        <v>177</v>
      </c>
      <c r="B94" s="2" t="s">
        <v>353</v>
      </c>
      <c r="C94" s="2" t="s">
        <v>229</v>
      </c>
      <c r="D94" s="2" t="s">
        <v>352</v>
      </c>
      <c r="E94" s="8">
        <f>IFERROR(INDEX(Items!$E$2:$E$138,MATCH(C94,Items!$A$2:$A$138,0)),"")</f>
        <v>2.22</v>
      </c>
      <c r="F94" s="8">
        <f>IFERROR(INDEX(Items!$F$2:$F$138,MATCH(C94,Items!$A$2:$A$138,0)),"")</f>
        <v>6.25</v>
      </c>
      <c r="G94" s="9">
        <f>IFERROR(INDEX(Items!$I$2:$I$138,MATCH(C94,Items!$A$2:$A$138,0)),"")</f>
        <v>500</v>
      </c>
      <c r="H94" s="7" t="s">
        <v>19</v>
      </c>
    </row>
    <row r="95" spans="1:8" x14ac:dyDescent="0.25">
      <c r="A95" s="2" t="s">
        <v>177</v>
      </c>
      <c r="B95" s="2" t="s">
        <v>353</v>
      </c>
      <c r="C95" s="2" t="s">
        <v>244</v>
      </c>
      <c r="D95" s="2" t="s">
        <v>352</v>
      </c>
      <c r="E95" s="8">
        <f>IFERROR(INDEX(Items!$E$2:$E$138,MATCH(C95,Items!$A$2:$A$138,0)),"")</f>
        <v>4.45</v>
      </c>
      <c r="F95" s="8">
        <f>IFERROR(INDEX(Items!$F$2:$F$138,MATCH(C95,Items!$A$2:$A$138,0)),"")</f>
        <v>11.65</v>
      </c>
      <c r="G95" s="9">
        <f>IFERROR(INDEX(Items!$I$2:$I$138,MATCH(C95,Items!$A$2:$A$138,0)),"")</f>
        <v>500</v>
      </c>
      <c r="H95" s="7" t="s">
        <v>19</v>
      </c>
    </row>
    <row r="96" spans="1:8" x14ac:dyDescent="0.25">
      <c r="A96" s="2" t="s">
        <v>177</v>
      </c>
      <c r="B96" s="2" t="s">
        <v>353</v>
      </c>
      <c r="C96" s="2" t="s">
        <v>246</v>
      </c>
      <c r="D96" s="2" t="s">
        <v>352</v>
      </c>
      <c r="E96" s="8">
        <f>IFERROR(INDEX(Items!$E$2:$E$138,MATCH(C96,Items!$A$2:$A$138,0)),"")</f>
        <v>4.33</v>
      </c>
      <c r="F96" s="8">
        <f>IFERROR(INDEX(Items!$F$2:$F$138,MATCH(C96,Items!$A$2:$A$138,0)),"")</f>
        <v>11.5</v>
      </c>
      <c r="G96" s="9">
        <f>IFERROR(INDEX(Items!$I$2:$I$138,MATCH(C96,Items!$A$2:$A$138,0)),"")</f>
        <v>500</v>
      </c>
      <c r="H96" s="7" t="s">
        <v>19</v>
      </c>
    </row>
    <row r="97" spans="1:8" x14ac:dyDescent="0.25">
      <c r="A97" s="2" t="s">
        <v>177</v>
      </c>
      <c r="B97" s="2" t="s">
        <v>353</v>
      </c>
      <c r="C97" s="2" t="s">
        <v>341</v>
      </c>
      <c r="D97" s="2" t="s">
        <v>352</v>
      </c>
      <c r="E97" s="8">
        <f>IFERROR(INDEX(Items!$E$2:$E$138,MATCH(C97,Items!$A$2:$A$138,0)),"")</f>
        <v>0.16</v>
      </c>
      <c r="F97" s="8" t="str">
        <f>IFERROR(INDEX(Items!$F$2:$F$138,MATCH(C97,Items!$A$2:$A$138,0)),"")</f>
        <v/>
      </c>
      <c r="G97" s="9">
        <f>IFERROR(INDEX(Items!$I$2:$I$138,MATCH(C97,Items!$A$2:$A$138,0)),"")</f>
        <v>1000</v>
      </c>
      <c r="H97" s="7" t="s">
        <v>19</v>
      </c>
    </row>
    <row r="98" spans="1:8" x14ac:dyDescent="0.25">
      <c r="A98" s="2" t="s">
        <v>177</v>
      </c>
      <c r="B98" s="2" t="s">
        <v>353</v>
      </c>
      <c r="C98" s="2" t="s">
        <v>273</v>
      </c>
      <c r="D98" s="2" t="s">
        <v>352</v>
      </c>
      <c r="E98" s="8">
        <f>IFERROR(INDEX(Items!$E$2:$E$138,MATCH(C98,Items!$A$2:$A$138,0)),"")</f>
        <v>8</v>
      </c>
      <c r="F98" s="8">
        <f>IFERROR(INDEX(Items!$F$2:$F$138,MATCH(C98,Items!$A$2:$A$138,0)),"")</f>
        <v>22</v>
      </c>
      <c r="G98" s="9">
        <f>IFERROR(INDEX(Items!$I$2:$I$138,MATCH(C98,Items!$A$2:$A$138,0)),"")</f>
        <v>500</v>
      </c>
      <c r="H98" s="7" t="s">
        <v>19</v>
      </c>
    </row>
    <row r="99" spans="1:8" x14ac:dyDescent="0.25">
      <c r="A99" s="2" t="s">
        <v>177</v>
      </c>
      <c r="B99" s="2" t="s">
        <v>353</v>
      </c>
      <c r="C99" s="2" t="s">
        <v>281</v>
      </c>
      <c r="D99" s="2" t="s">
        <v>352</v>
      </c>
      <c r="E99" s="8">
        <f>IFERROR(INDEX(Items!$E$2:$E$138,MATCH(C99,Items!$A$2:$A$138,0)),"")</f>
        <v>4.9</v>
      </c>
      <c r="F99" s="8">
        <f>IFERROR(INDEX(Items!$F$2:$F$138,MATCH(C99,Items!$A$2:$A$138,0)),"")</f>
        <v>13</v>
      </c>
      <c r="G99" s="9">
        <f>IFERROR(INDEX(Items!$I$2:$I$138,MATCH(C99,Items!$A$2:$A$138,0)),"")</f>
        <v>500</v>
      </c>
      <c r="H99" s="7" t="s">
        <v>19</v>
      </c>
    </row>
    <row r="100" spans="1:8" x14ac:dyDescent="0.25">
      <c r="A100" s="2" t="s">
        <v>177</v>
      </c>
      <c r="B100" s="2" t="s">
        <v>353</v>
      </c>
      <c r="C100" s="2" t="s">
        <v>286</v>
      </c>
      <c r="D100" s="2" t="s">
        <v>352</v>
      </c>
      <c r="E100" s="8">
        <f>IFERROR(INDEX(Items!$E$2:$E$138,MATCH(C100,Items!$A$2:$A$138,0)),"")</f>
        <v>0.5</v>
      </c>
      <c r="F100" s="8">
        <f>IFERROR(INDEX(Items!$F$2:$F$138,MATCH(C100,Items!$A$2:$A$138,0)),"")</f>
        <v>3</v>
      </c>
      <c r="G100" s="9">
        <f>IFERROR(INDEX(Items!$I$2:$I$138,MATCH(C100,Items!$A$2:$A$138,0)),"")</f>
        <v>500</v>
      </c>
      <c r="H100" s="7" t="s">
        <v>19</v>
      </c>
    </row>
    <row r="101" spans="1:8" x14ac:dyDescent="0.25">
      <c r="A101" s="2" t="s">
        <v>160</v>
      </c>
      <c r="B101" s="2" t="s">
        <v>353</v>
      </c>
      <c r="C101" s="2" t="s">
        <v>158</v>
      </c>
      <c r="D101" s="2" t="s">
        <v>352</v>
      </c>
      <c r="E101" s="8">
        <f>IFERROR(INDEX(Items!$E$2:$E$138,MATCH(C101,Items!$A$2:$A$138,0)),"")</f>
        <v>0.32</v>
      </c>
      <c r="F101" s="8">
        <f>IFERROR(INDEX(Items!$F$2:$F$138,MATCH(C101,Items!$A$2:$A$138,0)),"")</f>
        <v>2.89</v>
      </c>
      <c r="G101" s="9">
        <f>IFERROR(INDEX(Items!$I$2:$I$138,MATCH(C101,Items!$A$2:$A$138,0)),"")</f>
        <v>500</v>
      </c>
      <c r="H101" s="7" t="s">
        <v>19</v>
      </c>
    </row>
    <row r="102" spans="1:8" x14ac:dyDescent="0.25">
      <c r="A102" s="2" t="s">
        <v>160</v>
      </c>
      <c r="B102" s="2" t="s">
        <v>353</v>
      </c>
      <c r="C102" s="2" t="s">
        <v>162</v>
      </c>
      <c r="D102" s="2" t="s">
        <v>352</v>
      </c>
      <c r="E102" s="8">
        <f>IFERROR(INDEX(Items!$E$2:$E$138,MATCH(C102,Items!$A$2:$A$138,0)),"")</f>
        <v>0.26</v>
      </c>
      <c r="F102" s="8">
        <f>IFERROR(INDEX(Items!$F$2:$F$138,MATCH(C102,Items!$A$2:$A$138,0)),"")</f>
        <v>2.35</v>
      </c>
      <c r="G102" s="9">
        <f>IFERROR(INDEX(Items!$I$2:$I$138,MATCH(C102,Items!$A$2:$A$138,0)),"")</f>
        <v>500</v>
      </c>
      <c r="H102" s="7" t="s">
        <v>19</v>
      </c>
    </row>
    <row r="103" spans="1:8" x14ac:dyDescent="0.25">
      <c r="A103" s="2" t="s">
        <v>160</v>
      </c>
      <c r="B103" s="2" t="s">
        <v>353</v>
      </c>
      <c r="C103" s="2" t="s">
        <v>164</v>
      </c>
      <c r="D103" s="2" t="s">
        <v>352</v>
      </c>
      <c r="E103" s="8">
        <f>IFERROR(INDEX(Items!$E$2:$E$138,MATCH(C103,Items!$A$2:$A$138,0)),"")</f>
        <v>0.28</v>
      </c>
      <c r="F103" s="8">
        <f>IFERROR(INDEX(Items!$F$2:$F$138,MATCH(C103,Items!$A$2:$A$138,0)),"")</f>
        <v>2.24</v>
      </c>
      <c r="G103" s="9">
        <f>IFERROR(INDEX(Items!$I$2:$I$138,MATCH(C103,Items!$A$2:$A$138,0)),"")</f>
        <v>500</v>
      </c>
      <c r="H103" s="7" t="s">
        <v>19</v>
      </c>
    </row>
    <row r="104" spans="1:8" x14ac:dyDescent="0.25">
      <c r="A104" s="2" t="s">
        <v>160</v>
      </c>
      <c r="B104" s="2" t="s">
        <v>353</v>
      </c>
      <c r="C104" s="2" t="s">
        <v>143</v>
      </c>
      <c r="D104" s="2" t="s">
        <v>352</v>
      </c>
      <c r="E104" s="8">
        <f>IFERROR(INDEX(Items!$E$2:$E$138,MATCH(C104,Items!$A$2:$A$138,0)),"")</f>
        <v>0.28</v>
      </c>
      <c r="F104" s="8">
        <f>IFERROR(INDEX(Items!$F$2:$F$138,MATCH(C104,Items!$A$2:$A$138,0)),"")</f>
        <v>2.12</v>
      </c>
      <c r="G104" s="9">
        <f>IFERROR(INDEX(Items!$I$2:$I$138,MATCH(C104,Items!$A$2:$A$138,0)),"")</f>
        <v>250</v>
      </c>
      <c r="H104" s="7" t="s">
        <v>19</v>
      </c>
    </row>
    <row r="105" spans="1:8" x14ac:dyDescent="0.25">
      <c r="A105" s="2" t="s">
        <v>160</v>
      </c>
      <c r="B105" s="2" t="s">
        <v>353</v>
      </c>
      <c r="C105" s="2" t="s">
        <v>166</v>
      </c>
      <c r="D105" s="2" t="s">
        <v>352</v>
      </c>
      <c r="E105" s="8">
        <f>IFERROR(INDEX(Items!$E$2:$E$138,MATCH(C105,Items!$A$2:$A$138,0)),"")</f>
        <v>0.29</v>
      </c>
      <c r="F105" s="8">
        <f>IFERROR(INDEX(Items!$F$2:$F$138,MATCH(C105,Items!$A$2:$A$138,0)),"")</f>
        <v>2.62</v>
      </c>
      <c r="G105" s="9">
        <f>IFERROR(INDEX(Items!$I$2:$I$138,MATCH(C105,Items!$A$2:$A$138,0)),"")</f>
        <v>500</v>
      </c>
      <c r="H105" s="7" t="s">
        <v>19</v>
      </c>
    </row>
    <row r="106" spans="1:8" x14ac:dyDescent="0.25">
      <c r="A106" s="2" t="s">
        <v>160</v>
      </c>
      <c r="B106" s="2" t="s">
        <v>353</v>
      </c>
      <c r="C106" s="2" t="s">
        <v>148</v>
      </c>
      <c r="D106" s="2" t="s">
        <v>352</v>
      </c>
      <c r="E106" s="8">
        <f>IFERROR(INDEX(Items!$E$2:$E$138,MATCH(C106,Items!$A$2:$A$138,0)),"")</f>
        <v>0.29</v>
      </c>
      <c r="F106" s="8">
        <f>IFERROR(INDEX(Items!$F$2:$F$138,MATCH(C106,Items!$A$2:$A$138,0)),"")</f>
        <v>2.56</v>
      </c>
      <c r="G106" s="9">
        <f>IFERROR(INDEX(Items!$I$2:$I$138,MATCH(C106,Items!$A$2:$A$138,0)),"")</f>
        <v>500</v>
      </c>
      <c r="H106" s="7" t="s">
        <v>19</v>
      </c>
    </row>
    <row r="107" spans="1:8" x14ac:dyDescent="0.25">
      <c r="A107" s="2" t="s">
        <v>160</v>
      </c>
      <c r="B107" s="2" t="s">
        <v>353</v>
      </c>
      <c r="C107" s="2" t="s">
        <v>205</v>
      </c>
      <c r="D107" s="2" t="s">
        <v>352</v>
      </c>
      <c r="E107" s="8">
        <f>IFERROR(INDEX(Items!$E$2:$E$138,MATCH(C107,Items!$A$2:$A$138,0)),"")</f>
        <v>0.1</v>
      </c>
      <c r="F107" s="8">
        <f>IFERROR(INDEX(Items!$F$2:$F$138,MATCH(C107,Items!$A$2:$A$138,0)),"")</f>
        <v>6.75</v>
      </c>
      <c r="G107" s="9">
        <f>IFERROR(INDEX(Items!$I$2:$I$138,MATCH(C107,Items!$A$2:$A$138,0)),"")</f>
        <v>500</v>
      </c>
      <c r="H107" s="7" t="s">
        <v>19</v>
      </c>
    </row>
    <row r="108" spans="1:8" x14ac:dyDescent="0.25">
      <c r="A108" s="2" t="s">
        <v>160</v>
      </c>
      <c r="B108" s="2" t="s">
        <v>353</v>
      </c>
      <c r="C108" s="2" t="s">
        <v>223</v>
      </c>
      <c r="D108" s="2" t="s">
        <v>352</v>
      </c>
      <c r="E108" s="8">
        <f>IFERROR(INDEX(Items!$E$2:$E$138,MATCH(C108,Items!$A$2:$A$138,0)),"")</f>
        <v>6</v>
      </c>
      <c r="F108" s="8">
        <f>IFERROR(INDEX(Items!$F$2:$F$138,MATCH(C108,Items!$A$2:$A$138,0)),"")</f>
        <v>25</v>
      </c>
      <c r="G108" s="9">
        <f>IFERROR(INDEX(Items!$I$2:$I$138,MATCH(C108,Items!$A$2:$A$138,0)),"")</f>
        <v>100</v>
      </c>
      <c r="H108" s="7" t="s">
        <v>19</v>
      </c>
    </row>
    <row r="109" spans="1:8" x14ac:dyDescent="0.25">
      <c r="A109" s="2" t="s">
        <v>160</v>
      </c>
      <c r="B109" s="2" t="s">
        <v>353</v>
      </c>
      <c r="C109" s="2" t="s">
        <v>226</v>
      </c>
      <c r="D109" s="2" t="s">
        <v>352</v>
      </c>
      <c r="E109" s="8">
        <f>IFERROR(INDEX(Items!$E$2:$E$138,MATCH(C109,Items!$A$2:$A$138,0)),"")</f>
        <v>10</v>
      </c>
      <c r="F109" s="8">
        <f>IFERROR(INDEX(Items!$F$2:$F$138,MATCH(C109,Items!$A$2:$A$138,0)),"")</f>
        <v>40</v>
      </c>
      <c r="G109" s="9">
        <f>IFERROR(INDEX(Items!$I$2:$I$138,MATCH(C109,Items!$A$2:$A$138,0)),"")</f>
        <v>100</v>
      </c>
      <c r="H109" s="7" t="s">
        <v>19</v>
      </c>
    </row>
    <row r="110" spans="1:8" x14ac:dyDescent="0.25">
      <c r="A110" s="2" t="s">
        <v>160</v>
      </c>
      <c r="B110" s="2" t="s">
        <v>353</v>
      </c>
      <c r="C110" s="2" t="s">
        <v>231</v>
      </c>
      <c r="D110" s="2" t="s">
        <v>352</v>
      </c>
      <c r="E110" s="8">
        <f>IFERROR(INDEX(Items!$E$2:$E$138,MATCH(C110,Items!$A$2:$A$138,0)),"")</f>
        <v>2.5</v>
      </c>
      <c r="F110" s="8">
        <f>IFERROR(INDEX(Items!$F$2:$F$138,MATCH(C110,Items!$A$2:$A$138,0)),"")</f>
        <v>8</v>
      </c>
      <c r="G110" s="9">
        <f>IFERROR(INDEX(Items!$I$2:$I$138,MATCH(C110,Items!$A$2:$A$138,0)),"")</f>
        <v>500</v>
      </c>
      <c r="H110" s="7" t="s">
        <v>19</v>
      </c>
    </row>
    <row r="111" spans="1:8" x14ac:dyDescent="0.25">
      <c r="A111" s="2" t="s">
        <v>160</v>
      </c>
      <c r="B111" s="2" t="s">
        <v>353</v>
      </c>
      <c r="C111" s="2" t="s">
        <v>234</v>
      </c>
      <c r="D111" s="2" t="s">
        <v>352</v>
      </c>
      <c r="E111" s="8">
        <f>IFERROR(INDEX(Items!$E$2:$E$138,MATCH(C111,Items!$A$2:$A$138,0)),"")</f>
        <v>1.1</v>
      </c>
      <c r="F111" s="8">
        <f>IFERROR(INDEX(Items!$F$2:$F$138,MATCH(C111,Items!$A$2:$A$138,0)),"")</f>
        <v>6</v>
      </c>
      <c r="G111" s="9">
        <f>IFERROR(INDEX(Items!$I$2:$I$138,MATCH(C111,Items!$A$2:$A$138,0)),"")</f>
        <v>500</v>
      </c>
      <c r="H111" s="7" t="s">
        <v>19</v>
      </c>
    </row>
    <row r="112" spans="1:8" x14ac:dyDescent="0.25">
      <c r="A112" s="2" t="s">
        <v>160</v>
      </c>
      <c r="B112" s="2" t="s">
        <v>353</v>
      </c>
      <c r="C112" s="2" t="s">
        <v>241</v>
      </c>
      <c r="D112" s="2" t="s">
        <v>352</v>
      </c>
      <c r="E112" s="8">
        <f>IFERROR(INDEX(Items!$E$2:$E$138,MATCH(C112,Items!$A$2:$A$138,0)),"")</f>
        <v>9</v>
      </c>
      <c r="F112" s="8">
        <f>IFERROR(INDEX(Items!$F$2:$F$138,MATCH(C112,Items!$A$2:$A$138,0)),"")</f>
        <v>19</v>
      </c>
      <c r="G112" s="9">
        <f>IFERROR(INDEX(Items!$I$2:$I$138,MATCH(C112,Items!$A$2:$A$138,0)),"")</f>
        <v>500</v>
      </c>
      <c r="H112" s="7" t="s">
        <v>19</v>
      </c>
    </row>
    <row r="113" spans="1:8" x14ac:dyDescent="0.25">
      <c r="A113" s="2" t="s">
        <v>160</v>
      </c>
      <c r="B113" s="2" t="s">
        <v>353</v>
      </c>
      <c r="C113" s="2" t="s">
        <v>341</v>
      </c>
      <c r="D113" s="2" t="s">
        <v>352</v>
      </c>
      <c r="E113" s="8">
        <f>IFERROR(INDEX(Items!$E$2:$E$138,MATCH(C113,Items!$A$2:$A$138,0)),"")</f>
        <v>0.16</v>
      </c>
      <c r="F113" s="8" t="str">
        <f>IFERROR(INDEX(Items!$F$2:$F$138,MATCH(C113,Items!$A$2:$A$138,0)),"")</f>
        <v/>
      </c>
      <c r="G113" s="9">
        <f>IFERROR(INDEX(Items!$I$2:$I$138,MATCH(C113,Items!$A$2:$A$138,0)),"")</f>
        <v>1000</v>
      </c>
      <c r="H113" s="7" t="s">
        <v>19</v>
      </c>
    </row>
    <row r="114" spans="1:8" x14ac:dyDescent="0.25">
      <c r="A114" s="2" t="s">
        <v>160</v>
      </c>
      <c r="B114" s="2" t="s">
        <v>353</v>
      </c>
      <c r="C114" s="2" t="s">
        <v>275</v>
      </c>
      <c r="D114" s="2" t="s">
        <v>352</v>
      </c>
      <c r="E114" s="8">
        <f>IFERROR(INDEX(Items!$E$2:$E$138,MATCH(C114,Items!$A$2:$A$138,0)),"")</f>
        <v>0.2</v>
      </c>
      <c r="F114" s="8">
        <f>IFERROR(INDEX(Items!$F$2:$F$138,MATCH(C114,Items!$A$2:$A$138,0)),"")</f>
        <v>8.5</v>
      </c>
      <c r="G114" s="9">
        <f>IFERROR(INDEX(Items!$I$2:$I$138,MATCH(C114,Items!$A$2:$A$138,0)),"")</f>
        <v>500</v>
      </c>
      <c r="H114" s="7" t="s">
        <v>19</v>
      </c>
    </row>
    <row r="115" spans="1:8" x14ac:dyDescent="0.25">
      <c r="A115" s="2" t="s">
        <v>160</v>
      </c>
      <c r="B115" s="2" t="s">
        <v>353</v>
      </c>
      <c r="C115" s="2" t="s">
        <v>284</v>
      </c>
      <c r="D115" s="2" t="s">
        <v>352</v>
      </c>
      <c r="E115" s="8">
        <f>IFERROR(INDEX(Items!$E$2:$E$138,MATCH(C115,Items!$A$2:$A$138,0)),"")</f>
        <v>0.9</v>
      </c>
      <c r="F115" s="8">
        <f>IFERROR(INDEX(Items!$F$2:$F$138,MATCH(C115,Items!$A$2:$A$138,0)),"")</f>
        <v>7</v>
      </c>
      <c r="G115" s="9">
        <f>IFERROR(INDEX(Items!$I$2:$I$138,MATCH(C115,Items!$A$2:$A$138,0)),"")</f>
        <v>500</v>
      </c>
      <c r="H115" s="7" t="s">
        <v>19</v>
      </c>
    </row>
    <row r="116" spans="1:8" x14ac:dyDescent="0.25">
      <c r="A116" s="2" t="s">
        <v>160</v>
      </c>
      <c r="B116" s="2" t="s">
        <v>353</v>
      </c>
      <c r="C116" s="2" t="s">
        <v>286</v>
      </c>
      <c r="D116" s="2" t="s">
        <v>352</v>
      </c>
      <c r="E116" s="8">
        <f>IFERROR(INDEX(Items!$E$2:$E$138,MATCH(C116,Items!$A$2:$A$138,0)),"")</f>
        <v>0.5</v>
      </c>
      <c r="F116" s="8">
        <f>IFERROR(INDEX(Items!$F$2:$F$138,MATCH(C116,Items!$A$2:$A$138,0)),"")</f>
        <v>3</v>
      </c>
      <c r="G116" s="9">
        <f>IFERROR(INDEX(Items!$I$2:$I$138,MATCH(C116,Items!$A$2:$A$138,0)),"")</f>
        <v>500</v>
      </c>
      <c r="H116" s="7" t="s">
        <v>19</v>
      </c>
    </row>
    <row r="117" spans="1:8" x14ac:dyDescent="0.25">
      <c r="A117" s="2" t="s">
        <v>170</v>
      </c>
      <c r="B117" s="2" t="s">
        <v>353</v>
      </c>
      <c r="C117" s="2" t="s">
        <v>168</v>
      </c>
      <c r="D117" s="2" t="s">
        <v>352</v>
      </c>
      <c r="E117" s="8">
        <f>IFERROR(INDEX(Items!$E$2:$E$138,MATCH(C117,Items!$A$2:$A$138,0)),"")</f>
        <v>2</v>
      </c>
      <c r="F117" s="8">
        <f>IFERROR(INDEX(Items!$F$2:$F$138,MATCH(C117,Items!$A$2:$A$138,0)),"")</f>
        <v>12</v>
      </c>
      <c r="G117" s="9">
        <f>IFERROR(INDEX(Items!$I$2:$I$138,MATCH(C117,Items!$A$2:$A$138,0)),"")</f>
        <v>300</v>
      </c>
      <c r="H117" s="7" t="s">
        <v>19</v>
      </c>
    </row>
    <row r="118" spans="1:8" x14ac:dyDescent="0.25">
      <c r="A118" s="2" t="s">
        <v>170</v>
      </c>
      <c r="B118" s="2" t="s">
        <v>353</v>
      </c>
      <c r="C118" s="2" t="s">
        <v>172</v>
      </c>
      <c r="D118" s="2" t="s">
        <v>352</v>
      </c>
      <c r="E118" s="8">
        <f>IFERROR(INDEX(Items!$E$2:$E$138,MATCH(C118,Items!$A$2:$A$138,0)),"")</f>
        <v>5.8</v>
      </c>
      <c r="F118" s="8">
        <f>IFERROR(INDEX(Items!$F$2:$F$138,MATCH(C118,Items!$A$2:$A$138,0)),"")</f>
        <v>21</v>
      </c>
      <c r="G118" s="9">
        <f>IFERROR(INDEX(Items!$I$2:$I$138,MATCH(C118,Items!$A$2:$A$138,0)),"")</f>
        <v>300</v>
      </c>
      <c r="H118" s="7" t="s">
        <v>19</v>
      </c>
    </row>
    <row r="119" spans="1:8" x14ac:dyDescent="0.25">
      <c r="A119" s="2" t="s">
        <v>170</v>
      </c>
      <c r="B119" s="2" t="s">
        <v>353</v>
      </c>
      <c r="C119" s="2" t="s">
        <v>179</v>
      </c>
      <c r="D119" s="2" t="s">
        <v>352</v>
      </c>
      <c r="E119" s="8">
        <f>IFERROR(INDEX(Items!$E$2:$E$138,MATCH(C119,Items!$A$2:$A$138,0)),"")</f>
        <v>1</v>
      </c>
      <c r="F119" s="8">
        <f>IFERROR(INDEX(Items!$F$2:$F$138,MATCH(C119,Items!$A$2:$A$138,0)),"")</f>
        <v>15</v>
      </c>
      <c r="G119" s="9">
        <f>IFERROR(INDEX(Items!$I$2:$I$138,MATCH(C119,Items!$A$2:$A$138,0)),"")</f>
        <v>500</v>
      </c>
      <c r="H119" s="7" t="s">
        <v>19</v>
      </c>
    </row>
    <row r="120" spans="1:8" x14ac:dyDescent="0.25">
      <c r="A120" s="2" t="s">
        <v>170</v>
      </c>
      <c r="B120" s="2" t="s">
        <v>353</v>
      </c>
      <c r="C120" s="2" t="s">
        <v>184</v>
      </c>
      <c r="D120" s="2" t="s">
        <v>352</v>
      </c>
      <c r="E120" s="8">
        <f>IFERROR(INDEX(Items!$E$2:$E$138,MATCH(C120,Items!$A$2:$A$138,0)),"")</f>
        <v>3.6</v>
      </c>
      <c r="F120" s="8">
        <f>IFERROR(INDEX(Items!$F$2:$F$138,MATCH(C120,Items!$A$2:$A$138,0)),"")</f>
        <v>12</v>
      </c>
      <c r="G120" s="9">
        <f>IFERROR(INDEX(Items!$I$2:$I$138,MATCH(C120,Items!$A$2:$A$138,0)),"")</f>
        <v>300</v>
      </c>
      <c r="H120" s="7" t="s">
        <v>19</v>
      </c>
    </row>
    <row r="121" spans="1:8" x14ac:dyDescent="0.25">
      <c r="A121" s="2" t="s">
        <v>170</v>
      </c>
      <c r="B121" s="2" t="s">
        <v>353</v>
      </c>
      <c r="C121" s="2" t="s">
        <v>187</v>
      </c>
      <c r="D121" s="2" t="s">
        <v>352</v>
      </c>
      <c r="E121" s="8">
        <f>IFERROR(INDEX(Items!$E$2:$E$138,MATCH(C121,Items!$A$2:$A$138,0)),"")</f>
        <v>24</v>
      </c>
      <c r="F121" s="8">
        <f>IFERROR(INDEX(Items!$F$2:$F$138,MATCH(C121,Items!$A$2:$A$138,0)),"")</f>
        <v>55</v>
      </c>
      <c r="G121" s="9">
        <f>IFERROR(INDEX(Items!$I$2:$I$138,MATCH(C121,Items!$A$2:$A$138,0)),"")</f>
        <v>150</v>
      </c>
      <c r="H121" s="7" t="s">
        <v>19</v>
      </c>
    </row>
    <row r="122" spans="1:8" x14ac:dyDescent="0.25">
      <c r="A122" s="2" t="s">
        <v>170</v>
      </c>
      <c r="B122" s="2" t="s">
        <v>353</v>
      </c>
      <c r="C122" s="2" t="s">
        <v>190</v>
      </c>
      <c r="D122" s="2" t="s">
        <v>352</v>
      </c>
      <c r="E122" s="8">
        <f>IFERROR(INDEX(Items!$E$2:$E$138,MATCH(C122,Items!$A$2:$A$138,0)),"")</f>
        <v>24</v>
      </c>
      <c r="F122" s="8">
        <f>IFERROR(INDEX(Items!$F$2:$F$138,MATCH(C122,Items!$A$2:$A$138,0)),"")</f>
        <v>55</v>
      </c>
      <c r="G122" s="9">
        <f>IFERROR(INDEX(Items!$I$2:$I$138,MATCH(C122,Items!$A$2:$A$138,0)),"")</f>
        <v>150</v>
      </c>
      <c r="H122" s="7" t="s">
        <v>19</v>
      </c>
    </row>
    <row r="123" spans="1:8" x14ac:dyDescent="0.25">
      <c r="A123" s="2" t="s">
        <v>170</v>
      </c>
      <c r="B123" s="2" t="s">
        <v>353</v>
      </c>
      <c r="C123" s="2" t="s">
        <v>192</v>
      </c>
      <c r="D123" s="2" t="s">
        <v>354</v>
      </c>
      <c r="E123" s="8">
        <f>IFERROR(INDEX(Items!$E$2:$E$138,MATCH(C123,Items!$A$2:$A$138,0)),"")</f>
        <v>41</v>
      </c>
      <c r="F123" s="8">
        <f>IFERROR(INDEX(Items!$F$2:$F$138,MATCH(C123,Items!$A$2:$A$138,0)),"")</f>
        <v>122</v>
      </c>
      <c r="G123" s="9">
        <f>IFERROR(INDEX(Items!$I$2:$I$138,MATCH(C123,Items!$A$2:$A$138,0)),"")</f>
        <v>150</v>
      </c>
      <c r="H123" s="7" t="s">
        <v>19</v>
      </c>
    </row>
    <row r="124" spans="1:8" x14ac:dyDescent="0.25">
      <c r="A124" s="2" t="s">
        <v>170</v>
      </c>
      <c r="B124" s="2" t="s">
        <v>353</v>
      </c>
      <c r="C124" s="2" t="s">
        <v>195</v>
      </c>
      <c r="D124" s="2" t="s">
        <v>354</v>
      </c>
      <c r="E124" s="8">
        <f>IFERROR(INDEX(Items!$E$2:$E$138,MATCH(C124,Items!$A$2:$A$138,0)),"")</f>
        <v>41</v>
      </c>
      <c r="F124" s="8">
        <f>IFERROR(INDEX(Items!$F$2:$F$138,MATCH(C124,Items!$A$2:$A$138,0)),"")</f>
        <v>122</v>
      </c>
      <c r="G124" s="9">
        <f>IFERROR(INDEX(Items!$I$2:$I$138,MATCH(C124,Items!$A$2:$A$138,0)),"")</f>
        <v>150</v>
      </c>
      <c r="H124" s="7" t="s">
        <v>19</v>
      </c>
    </row>
    <row r="125" spans="1:8" x14ac:dyDescent="0.25">
      <c r="A125" s="2" t="s">
        <v>170</v>
      </c>
      <c r="B125" s="2" t="s">
        <v>353</v>
      </c>
      <c r="C125" s="2" t="s">
        <v>197</v>
      </c>
      <c r="D125" s="2" t="s">
        <v>352</v>
      </c>
      <c r="E125" s="8">
        <f>IFERROR(INDEX(Items!$E$2:$E$138,MATCH(C125,Items!$A$2:$A$138,0)),"")</f>
        <v>27</v>
      </c>
      <c r="F125" s="8">
        <f>IFERROR(INDEX(Items!$F$2:$F$138,MATCH(C125,Items!$A$2:$A$138,0)),"")</f>
        <v>57</v>
      </c>
      <c r="G125" s="9">
        <f>IFERROR(INDEX(Items!$I$2:$I$138,MATCH(C125,Items!$A$2:$A$138,0)),"")</f>
        <v>150</v>
      </c>
      <c r="H125" s="7" t="s">
        <v>19</v>
      </c>
    </row>
    <row r="126" spans="1:8" x14ac:dyDescent="0.25">
      <c r="A126" s="2" t="s">
        <v>170</v>
      </c>
      <c r="B126" s="2" t="s">
        <v>353</v>
      </c>
      <c r="C126" s="2" t="s">
        <v>199</v>
      </c>
      <c r="D126" s="2" t="s">
        <v>352</v>
      </c>
      <c r="E126" s="8">
        <f>IFERROR(INDEX(Items!$E$2:$E$138,MATCH(C126,Items!$A$2:$A$138,0)),"")</f>
        <v>27</v>
      </c>
      <c r="F126" s="8">
        <f>IFERROR(INDEX(Items!$F$2:$F$138,MATCH(C126,Items!$A$2:$A$138,0)),"")</f>
        <v>57</v>
      </c>
      <c r="G126" s="9">
        <f>IFERROR(INDEX(Items!$I$2:$I$138,MATCH(C126,Items!$A$2:$A$138,0)),"")</f>
        <v>150</v>
      </c>
      <c r="H126" s="7" t="s">
        <v>19</v>
      </c>
    </row>
    <row r="127" spans="1:8" x14ac:dyDescent="0.25">
      <c r="A127" s="2" t="s">
        <v>170</v>
      </c>
      <c r="B127" s="2" t="s">
        <v>353</v>
      </c>
      <c r="C127" s="2" t="s">
        <v>201</v>
      </c>
      <c r="D127" s="2" t="s">
        <v>354</v>
      </c>
      <c r="E127" s="8">
        <f>IFERROR(INDEX(Items!$E$2:$E$138,MATCH(C127,Items!$A$2:$A$138,0)),"")</f>
        <v>45</v>
      </c>
      <c r="F127" s="8">
        <f>IFERROR(INDEX(Items!$F$2:$F$138,MATCH(C127,Items!$A$2:$A$138,0)),"")</f>
        <v>127</v>
      </c>
      <c r="G127" s="9">
        <f>IFERROR(INDEX(Items!$I$2:$I$138,MATCH(C127,Items!$A$2:$A$138,0)),"")</f>
        <v>150</v>
      </c>
      <c r="H127" s="7" t="s">
        <v>19</v>
      </c>
    </row>
    <row r="128" spans="1:8" x14ac:dyDescent="0.25">
      <c r="A128" s="2" t="s">
        <v>170</v>
      </c>
      <c r="B128" s="2" t="s">
        <v>353</v>
      </c>
      <c r="C128" s="2" t="s">
        <v>203</v>
      </c>
      <c r="D128" s="2" t="s">
        <v>354</v>
      </c>
      <c r="E128" s="8">
        <f>IFERROR(INDEX(Items!$E$2:$E$138,MATCH(C128,Items!$A$2:$A$138,0)),"")</f>
        <v>45</v>
      </c>
      <c r="F128" s="8">
        <f>IFERROR(INDEX(Items!$F$2:$F$138,MATCH(C128,Items!$A$2:$A$138,0)),"")</f>
        <v>127</v>
      </c>
      <c r="G128" s="9">
        <f>IFERROR(INDEX(Items!$I$2:$I$138,MATCH(C128,Items!$A$2:$A$138,0)),"")</f>
        <v>150</v>
      </c>
      <c r="H128" s="7" t="s">
        <v>19</v>
      </c>
    </row>
    <row r="129" spans="1:8" x14ac:dyDescent="0.25">
      <c r="A129" s="2" t="s">
        <v>170</v>
      </c>
      <c r="B129" s="2" t="s">
        <v>353</v>
      </c>
      <c r="C129" s="2" t="s">
        <v>257</v>
      </c>
      <c r="D129" s="2" t="s">
        <v>352</v>
      </c>
      <c r="E129" s="8">
        <f>IFERROR(INDEX(Items!$E$2:$E$138,MATCH(C129,Items!$A$2:$A$138,0)),"")</f>
        <v>4</v>
      </c>
      <c r="F129" s="8">
        <f>IFERROR(INDEX(Items!$F$2:$F$138,MATCH(C129,Items!$A$2:$A$138,0)),"")</f>
        <v>16</v>
      </c>
      <c r="G129" s="9">
        <f>IFERROR(INDEX(Items!$I$2:$I$138,MATCH(C129,Items!$A$2:$A$138,0)),"")</f>
        <v>300</v>
      </c>
      <c r="H129" s="7" t="s">
        <v>19</v>
      </c>
    </row>
    <row r="130" spans="1:8" x14ac:dyDescent="0.25">
      <c r="A130" s="2" t="s">
        <v>170</v>
      </c>
      <c r="B130" s="2" t="s">
        <v>353</v>
      </c>
      <c r="C130" s="2" t="s">
        <v>259</v>
      </c>
      <c r="D130" s="2" t="s">
        <v>352</v>
      </c>
      <c r="E130" s="8">
        <f>IFERROR(INDEX(Items!$E$2:$E$138,MATCH(C130,Items!$A$2:$A$138,0)),"")</f>
        <v>5</v>
      </c>
      <c r="F130" s="8">
        <f>IFERROR(INDEX(Items!$F$2:$F$138,MATCH(C130,Items!$A$2:$A$138,0)),"")</f>
        <v>20</v>
      </c>
      <c r="G130" s="9">
        <f>IFERROR(INDEX(Items!$I$2:$I$138,MATCH(C130,Items!$A$2:$A$138,0)),"")</f>
        <v>300</v>
      </c>
      <c r="H130" s="7" t="s">
        <v>19</v>
      </c>
    </row>
    <row r="131" spans="1:8" x14ac:dyDescent="0.25">
      <c r="A131" s="2" t="s">
        <v>170</v>
      </c>
      <c r="B131" s="2" t="s">
        <v>353</v>
      </c>
      <c r="C131" s="2" t="s">
        <v>269</v>
      </c>
      <c r="D131" s="2" t="s">
        <v>352</v>
      </c>
      <c r="E131" s="8">
        <f>IFERROR(INDEX(Items!$E$2:$E$138,MATCH(C131,Items!$A$2:$A$138,0)),"")</f>
        <v>3.2</v>
      </c>
      <c r="F131" s="8">
        <f>IFERROR(INDEX(Items!$F$2:$F$138,MATCH(C131,Items!$A$2:$A$138,0)),"")</f>
        <v>10</v>
      </c>
      <c r="G131" s="9">
        <f>IFERROR(INDEX(Items!$I$2:$I$138,MATCH(C131,Items!$A$2:$A$138,0)),"")</f>
        <v>300</v>
      </c>
      <c r="H131" s="7" t="s">
        <v>19</v>
      </c>
    </row>
    <row r="132" spans="1:8" x14ac:dyDescent="0.25">
      <c r="A132" s="2" t="s">
        <v>170</v>
      </c>
      <c r="B132" s="2" t="s">
        <v>353</v>
      </c>
      <c r="C132" s="2" t="s">
        <v>341</v>
      </c>
      <c r="D132" s="2" t="s">
        <v>352</v>
      </c>
      <c r="E132" s="8">
        <f>IFERROR(INDEX(Items!$E$2:$E$138,MATCH(C132,Items!$A$2:$A$138,0)),"")</f>
        <v>0.16</v>
      </c>
      <c r="F132" s="8" t="str">
        <f>IFERROR(INDEX(Items!$F$2:$F$138,MATCH(C132,Items!$A$2:$A$138,0)),"")</f>
        <v/>
      </c>
      <c r="G132" s="9">
        <f>IFERROR(INDEX(Items!$I$2:$I$138,MATCH(C132,Items!$A$2:$A$138,0)),"")</f>
        <v>1000</v>
      </c>
      <c r="H132" s="7" t="s">
        <v>19</v>
      </c>
    </row>
    <row r="133" spans="1:8" x14ac:dyDescent="0.25">
      <c r="A133" s="2" t="s">
        <v>170</v>
      </c>
      <c r="B133" s="2" t="s">
        <v>353</v>
      </c>
      <c r="C133" s="2" t="s">
        <v>286</v>
      </c>
      <c r="D133" s="2" t="s">
        <v>352</v>
      </c>
      <c r="E133" s="8">
        <f>IFERROR(INDEX(Items!$E$2:$E$138,MATCH(C133,Items!$A$2:$A$138,0)),"")</f>
        <v>0.5</v>
      </c>
      <c r="F133" s="8">
        <f>IFERROR(INDEX(Items!$F$2:$F$138,MATCH(C133,Items!$A$2:$A$138,0)),"")</f>
        <v>3</v>
      </c>
      <c r="G133" s="9">
        <f>IFERROR(INDEX(Items!$I$2:$I$138,MATCH(C133,Items!$A$2:$A$138,0)),"")</f>
        <v>500</v>
      </c>
      <c r="H133" s="7" t="s">
        <v>19</v>
      </c>
    </row>
    <row r="134" spans="1:8" x14ac:dyDescent="0.25">
      <c r="A134" s="2" t="s">
        <v>170</v>
      </c>
      <c r="B134" s="2" t="s">
        <v>353</v>
      </c>
      <c r="C134" s="2" t="s">
        <v>294</v>
      </c>
      <c r="D134" s="2" t="s">
        <v>352</v>
      </c>
      <c r="E134" s="8">
        <f>IFERROR(INDEX(Items!$E$2:$E$138,MATCH(C134,Items!$A$2:$A$138,0)),"")</f>
        <v>8</v>
      </c>
      <c r="F134" s="8">
        <f>IFERROR(INDEX(Items!$F$2:$F$138,MATCH(C134,Items!$A$2:$A$138,0)),"")</f>
        <v>26</v>
      </c>
      <c r="G134" s="9">
        <f>IFERROR(INDEX(Items!$I$2:$I$138,MATCH(C134,Items!$A$2:$A$138,0)),"")</f>
        <v>300</v>
      </c>
      <c r="H134" s="7" t="s">
        <v>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F1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6" customWidth="1"/>
    <col min="3" max="5" width="14" customWidth="1"/>
    <col min="6" max="6" width="13" customWidth="1"/>
  </cols>
  <sheetData>
    <row r="1" ht="30" customHeight="1" spans="1:6" x14ac:dyDescent="0.25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</row>
    <row r="2" spans="1:6" x14ac:dyDescent="0.25">
      <c r="A2" s="2" t="s">
        <v>150</v>
      </c>
      <c r="B2" s="2" t="s">
        <v>99</v>
      </c>
      <c r="C2" s="6">
        <v>300</v>
      </c>
      <c r="D2" s="8">
        <f>IFERROR(INDEX(Items!$E$2:$E$138,MATCH(B2,Items!$A$2:$A$138,0)),"")</f>
        <v>4</v>
      </c>
      <c r="E2" s="4">
        <f>IF(ISNUMBER(D2),C2*D2,"")</f>
        <v>1200</v>
      </c>
      <c r="F2" s="10">
        <f>C2/INDEX(Recipes!$C:$C,MATCH(A2,Recipes!$A:$A,0))</f>
        <v>10</v>
      </c>
    </row>
    <row r="3" spans="1:6" x14ac:dyDescent="0.25">
      <c r="A3" s="2" t="s">
        <v>150</v>
      </c>
      <c r="B3" s="2" t="s">
        <v>128</v>
      </c>
      <c r="C3" s="6">
        <v>300</v>
      </c>
      <c r="D3" s="8">
        <f>IFERROR(INDEX(Items!$E$2:$E$138,MATCH(B3,Items!$A$2:$A$138,0)),"")</f>
        <v>8</v>
      </c>
      <c r="E3" s="4">
        <f>IF(ISNUMBER(D3),C3*D3,"")</f>
        <v>2400</v>
      </c>
      <c r="F3" s="10">
        <f>C3/INDEX(Recipes!$C:$C,MATCH(A3,Recipes!$A:$A,0))</f>
        <v>10</v>
      </c>
    </row>
    <row r="4" spans="1:6" x14ac:dyDescent="0.25">
      <c r="A4" s="2" t="s">
        <v>150</v>
      </c>
      <c r="B4" s="2" t="s">
        <v>33</v>
      </c>
      <c r="C4" s="6">
        <v>300</v>
      </c>
      <c r="D4" s="8">
        <f>IFERROR(INDEX(Items!$E$2:$E$138,MATCH(B4,Items!$A$2:$A$138,0)),"")</f>
        <v>6</v>
      </c>
      <c r="E4" s="4">
        <f>IF(ISNUMBER(D4),C4*D4,"")</f>
        <v>1800</v>
      </c>
      <c r="F4" s="10">
        <f>C4/INDEX(Recipes!$C:$C,MATCH(A4,Recipes!$A:$A,0))</f>
        <v>10</v>
      </c>
    </row>
    <row r="5" spans="1:6" x14ac:dyDescent="0.25">
      <c r="A5" s="2" t="s">
        <v>150</v>
      </c>
      <c r="B5" s="2" t="s">
        <v>73</v>
      </c>
      <c r="C5" s="6">
        <v>60</v>
      </c>
      <c r="D5" s="8">
        <f>IFERROR(INDEX(Items!$E$2:$E$138,MATCH(B5,Items!$A$2:$A$138,0)),"")</f>
        <v>10</v>
      </c>
      <c r="E5" s="4">
        <f>IF(ISNUMBER(D5),C5*D5,"")</f>
        <v>600</v>
      </c>
      <c r="F5" s="10">
        <f>C5/INDEX(Recipes!$C:$C,MATCH(A5,Recipes!$A:$A,0))</f>
        <v>2</v>
      </c>
    </row>
    <row r="6" spans="1:6" x14ac:dyDescent="0.25">
      <c r="A6" s="2" t="s">
        <v>150</v>
      </c>
      <c r="B6" s="2" t="s">
        <v>50</v>
      </c>
      <c r="C6" s="6">
        <v>30</v>
      </c>
      <c r="D6" s="8">
        <f>IFERROR(INDEX(Items!$E$2:$E$138,MATCH(B6,Items!$A$2:$A$138,0)),"")</f>
        <v>8</v>
      </c>
      <c r="E6" s="4">
        <f>IF(ISNUMBER(D6),C6*D6,"")</f>
        <v>240</v>
      </c>
      <c r="F6" s="10">
        <f>C6/INDEX(Recipes!$C:$C,MATCH(A6,Recipes!$A:$A,0))</f>
        <v>1</v>
      </c>
    </row>
    <row r="7" spans="1:6" x14ac:dyDescent="0.25">
      <c r="A7" s="2" t="s">
        <v>150</v>
      </c>
      <c r="B7" s="2" t="s">
        <v>119</v>
      </c>
      <c r="C7" s="6">
        <v>30</v>
      </c>
      <c r="D7" s="8">
        <f>IFERROR(INDEX(Items!$E$2:$E$138,MATCH(B7,Items!$A$2:$A$138,0)),"")</f>
        <v>6</v>
      </c>
      <c r="E7" s="4">
        <f>IF(ISNUMBER(D7),C7*D7,"")</f>
        <v>180</v>
      </c>
      <c r="F7" s="10">
        <f>C7/INDEX(Recipes!$C:$C,MATCH(A7,Recipes!$A:$A,0))</f>
        <v>1</v>
      </c>
    </row>
    <row r="8" spans="1:6" x14ac:dyDescent="0.25">
      <c r="A8" s="2" t="s">
        <v>150</v>
      </c>
      <c r="B8" s="2" t="s">
        <v>83</v>
      </c>
      <c r="C8" s="6">
        <v>30</v>
      </c>
      <c r="D8" s="8">
        <f>IFERROR(INDEX(Items!$E$2:$E$138,MATCH(B8,Items!$A$2:$A$138,0)),"")</f>
        <v>8</v>
      </c>
      <c r="E8" s="4">
        <f>IF(ISNUMBER(D8),C8*D8,"")</f>
        <v>240</v>
      </c>
      <c r="F8" s="10">
        <f>C8/INDEX(Recipes!$C:$C,MATCH(A8,Recipes!$A:$A,0))</f>
        <v>1</v>
      </c>
    </row>
    <row r="9" spans="1:6" x14ac:dyDescent="0.25">
      <c r="A9" s="2" t="s">
        <v>150</v>
      </c>
      <c r="B9" s="2" t="s">
        <v>93</v>
      </c>
      <c r="C9" s="6">
        <v>30</v>
      </c>
      <c r="D9" s="8">
        <f>IFERROR(INDEX(Items!$E$2:$E$138,MATCH(B9,Items!$A$2:$A$138,0)),"")</f>
        <v>0.6</v>
      </c>
      <c r="E9" s="4">
        <f>IF(ISNUMBER(D9),C9*D9,"")</f>
        <v>18</v>
      </c>
      <c r="F9" s="10">
        <f>C9/INDEX(Recipes!$C:$C,MATCH(A9,Recipes!$A:$A,0))</f>
        <v>1</v>
      </c>
    </row>
    <row r="10" spans="1:6" x14ac:dyDescent="0.25">
      <c r="A10" s="2" t="s">
        <v>150</v>
      </c>
      <c r="B10" s="2" t="s">
        <v>60</v>
      </c>
      <c r="C10" s="6">
        <v>30</v>
      </c>
      <c r="D10" s="8">
        <f>IFERROR(INDEX(Items!$E$2:$E$138,MATCH(B10,Items!$A$2:$A$138,0)),"")</f>
        <v>0.5</v>
      </c>
      <c r="E10" s="4">
        <f>IF(ISNUMBER(D10),C10*D10,"")</f>
        <v>15</v>
      </c>
      <c r="F10" s="10">
        <f>C10/INDEX(Recipes!$C:$C,MATCH(A10,Recipes!$A:$A,0))</f>
        <v>1</v>
      </c>
    </row>
    <row r="11" spans="1:6" x14ac:dyDescent="0.25">
      <c r="A11" s="2" t="s">
        <v>150</v>
      </c>
      <c r="B11" s="2" t="s">
        <v>24</v>
      </c>
      <c r="C11" s="6">
        <v>30</v>
      </c>
      <c r="D11" s="8">
        <f>IFERROR(INDEX(Items!$E$2:$E$138,MATCH(B11,Items!$A$2:$A$138,0)),"")</f>
        <v>16</v>
      </c>
      <c r="E11" s="4">
        <f>IF(ISNUMBER(D11),C11*D11,"")</f>
        <v>480</v>
      </c>
      <c r="F11" s="10">
        <f>C11/INDEX(Recipes!$C:$C,MATCH(A11,Recipes!$A:$A,0))</f>
        <v>1</v>
      </c>
    </row>
    <row r="12" spans="1:6" x14ac:dyDescent="0.25">
      <c r="A12" s="2" t="s">
        <v>155</v>
      </c>
      <c r="B12" s="2" t="s">
        <v>99</v>
      </c>
      <c r="C12" s="6">
        <v>60</v>
      </c>
      <c r="D12" s="8">
        <f>IFERROR(INDEX(Items!$E$2:$E$138,MATCH(B12,Items!$A$2:$A$138,0)),"")</f>
        <v>4</v>
      </c>
      <c r="E12" s="4">
        <f>IF(ISNUMBER(D12),C12*D12,"")</f>
        <v>240</v>
      </c>
      <c r="F12" s="10">
        <f>C12/INDEX(Recipes!$C:$C,MATCH(A12,Recipes!$A:$A,0))</f>
        <v>2</v>
      </c>
    </row>
    <row r="13" spans="1:6" x14ac:dyDescent="0.25">
      <c r="A13" s="2" t="s">
        <v>155</v>
      </c>
      <c r="B13" s="2" t="s">
        <v>128</v>
      </c>
      <c r="C13" s="6">
        <v>60</v>
      </c>
      <c r="D13" s="8">
        <f>IFERROR(INDEX(Items!$E$2:$E$138,MATCH(B13,Items!$A$2:$A$138,0)),"")</f>
        <v>8</v>
      </c>
      <c r="E13" s="4">
        <f>IF(ISNUMBER(D13),C13*D13,"")</f>
        <v>480</v>
      </c>
      <c r="F13" s="10">
        <f>C13/INDEX(Recipes!$C:$C,MATCH(A13,Recipes!$A:$A,0))</f>
        <v>2</v>
      </c>
    </row>
    <row r="14" spans="1:6" x14ac:dyDescent="0.25">
      <c r="A14" s="2" t="s">
        <v>155</v>
      </c>
      <c r="B14" s="2" t="s">
        <v>33</v>
      </c>
      <c r="C14" s="6">
        <v>60</v>
      </c>
      <c r="D14" s="8">
        <f>IFERROR(INDEX(Items!$E$2:$E$138,MATCH(B14,Items!$A$2:$A$138,0)),"")</f>
        <v>6</v>
      </c>
      <c r="E14" s="4">
        <f>IF(ISNUMBER(D14),C14*D14,"")</f>
        <v>360</v>
      </c>
      <c r="F14" s="10">
        <f>C14/INDEX(Recipes!$C:$C,MATCH(A14,Recipes!$A:$A,0))</f>
        <v>2</v>
      </c>
    </row>
    <row r="15" spans="1:6" x14ac:dyDescent="0.25">
      <c r="A15" s="2" t="s">
        <v>155</v>
      </c>
      <c r="B15" s="2" t="s">
        <v>73</v>
      </c>
      <c r="C15" s="6">
        <v>30</v>
      </c>
      <c r="D15" s="8">
        <f>IFERROR(INDEX(Items!$E$2:$E$138,MATCH(B15,Items!$A$2:$A$138,0)),"")</f>
        <v>10</v>
      </c>
      <c r="E15" s="4">
        <f>IF(ISNUMBER(D15),C15*D15,"")</f>
        <v>300</v>
      </c>
      <c r="F15" s="10">
        <f>C15/INDEX(Recipes!$C:$C,MATCH(A15,Recipes!$A:$A,0))</f>
        <v>1</v>
      </c>
    </row>
    <row r="16" spans="1:6" x14ac:dyDescent="0.25">
      <c r="A16" s="2" t="s">
        <v>155</v>
      </c>
      <c r="B16" s="2" t="s">
        <v>50</v>
      </c>
      <c r="C16" s="6">
        <v>30</v>
      </c>
      <c r="D16" s="8">
        <f>IFERROR(INDEX(Items!$E$2:$E$138,MATCH(B16,Items!$A$2:$A$138,0)),"")</f>
        <v>8</v>
      </c>
      <c r="E16" s="4">
        <f>IF(ISNUMBER(D16),C16*D16,"")</f>
        <v>240</v>
      </c>
      <c r="F16" s="10">
        <f>C16/INDEX(Recipes!$C:$C,MATCH(A16,Recipes!$A:$A,0))</f>
        <v>1</v>
      </c>
    </row>
    <row r="17" spans="1:6" x14ac:dyDescent="0.25">
      <c r="A17" s="2" t="s">
        <v>155</v>
      </c>
      <c r="B17" s="2" t="s">
        <v>119</v>
      </c>
      <c r="C17" s="6">
        <v>30</v>
      </c>
      <c r="D17" s="8">
        <f>IFERROR(INDEX(Items!$E$2:$E$138,MATCH(B17,Items!$A$2:$A$138,0)),"")</f>
        <v>6</v>
      </c>
      <c r="E17" s="4">
        <f>IF(ISNUMBER(D17),C17*D17,"")</f>
        <v>180</v>
      </c>
      <c r="F17" s="10">
        <f>C17/INDEX(Recipes!$C:$C,MATCH(A17,Recipes!$A:$A,0))</f>
        <v>1</v>
      </c>
    </row>
    <row r="18" spans="1:6" x14ac:dyDescent="0.25">
      <c r="A18" s="2" t="s">
        <v>155</v>
      </c>
      <c r="B18" s="2" t="s">
        <v>83</v>
      </c>
      <c r="C18" s="6">
        <v>30</v>
      </c>
      <c r="D18" s="8">
        <f>IFERROR(INDEX(Items!$E$2:$E$138,MATCH(B18,Items!$A$2:$A$138,0)),"")</f>
        <v>8</v>
      </c>
      <c r="E18" s="4">
        <f>IF(ISNUMBER(D18),C18*D18,"")</f>
        <v>240</v>
      </c>
      <c r="F18" s="10">
        <f>C18/INDEX(Recipes!$C:$C,MATCH(A18,Recipes!$A:$A,0))</f>
        <v>1</v>
      </c>
    </row>
    <row r="19" spans="1:6" x14ac:dyDescent="0.25">
      <c r="A19" s="2" t="s">
        <v>155</v>
      </c>
      <c r="B19" s="2" t="s">
        <v>93</v>
      </c>
      <c r="C19" s="6">
        <v>5</v>
      </c>
      <c r="D19" s="8">
        <f>IFERROR(INDEX(Items!$E$2:$E$138,MATCH(B19,Items!$A$2:$A$138,0)),"")</f>
        <v>0.6</v>
      </c>
      <c r="E19" s="4">
        <f>IF(ISNUMBER(D19),C19*D19,"")</f>
        <v>3</v>
      </c>
      <c r="F19" s="10">
        <f>C19/INDEX(Recipes!$C:$C,MATCH(A19,Recipes!$A:$A,0))</f>
        <v>0.16666666666666666</v>
      </c>
    </row>
    <row r="20" spans="1:6" x14ac:dyDescent="0.25">
      <c r="A20" s="2" t="s">
        <v>155</v>
      </c>
      <c r="B20" s="2" t="s">
        <v>60</v>
      </c>
      <c r="C20" s="6">
        <v>5</v>
      </c>
      <c r="D20" s="8">
        <f>IFERROR(INDEX(Items!$E$2:$E$138,MATCH(B20,Items!$A$2:$A$138,0)),"")</f>
        <v>0.5</v>
      </c>
      <c r="E20" s="4">
        <f>IF(ISNUMBER(D20),C20*D20,"")</f>
        <v>2.5</v>
      </c>
      <c r="F20" s="10">
        <f>C20/INDEX(Recipes!$C:$C,MATCH(A20,Recipes!$A:$A,0))</f>
        <v>0.16666666666666666</v>
      </c>
    </row>
    <row r="21" spans="1:6" x14ac:dyDescent="0.25">
      <c r="A21" s="2" t="s">
        <v>155</v>
      </c>
      <c r="B21" s="2" t="s">
        <v>24</v>
      </c>
      <c r="C21" s="6">
        <v>30</v>
      </c>
      <c r="D21" s="8">
        <f>IFERROR(INDEX(Items!$E$2:$E$138,MATCH(B21,Items!$A$2:$A$138,0)),"")</f>
        <v>16</v>
      </c>
      <c r="E21" s="4">
        <f>IF(ISNUMBER(D21),C21*D21,"")</f>
        <v>480</v>
      </c>
      <c r="F21" s="10">
        <f>C21/INDEX(Recipes!$C:$C,MATCH(A21,Recipes!$A:$A,0))</f>
        <v>1</v>
      </c>
    </row>
    <row r="22" spans="1:6" x14ac:dyDescent="0.25">
      <c r="A22" s="2" t="s">
        <v>158</v>
      </c>
      <c r="B22" s="2" t="s">
        <v>103</v>
      </c>
      <c r="C22" s="6">
        <v>50</v>
      </c>
      <c r="D22" s="8">
        <f>IFERROR(INDEX(Items!$E$2:$E$138,MATCH(B22,Items!$A$2:$A$138,0)),"")</f>
        <v>0.5</v>
      </c>
      <c r="E22" s="4">
        <f>IF(ISNUMBER(D22),C22*D22,"")</f>
        <v>25</v>
      </c>
      <c r="F22" s="10">
        <f>C22/INDEX(Recipes!$C:$C,MATCH(A22,Recipes!$A:$A,0))</f>
        <v>0.2</v>
      </c>
    </row>
    <row r="23" spans="1:6" x14ac:dyDescent="0.25">
      <c r="A23" s="2" t="s">
        <v>158</v>
      </c>
      <c r="B23" s="2" t="s">
        <v>138</v>
      </c>
      <c r="C23" s="6">
        <v>50</v>
      </c>
      <c r="D23" s="8">
        <f>IFERROR(INDEX(Items!$E$2:$E$138,MATCH(B23,Items!$A$2:$A$138,0)),"")</f>
        <v>0.01</v>
      </c>
      <c r="E23" s="4">
        <f>IF(ISNUMBER(D23),C23*D23,"")</f>
        <v>0.5</v>
      </c>
      <c r="F23" s="10">
        <f>C23/INDEX(Recipes!$C:$C,MATCH(A23,Recipes!$A:$A,0))</f>
        <v>0.2</v>
      </c>
    </row>
    <row r="24" spans="1:6" x14ac:dyDescent="0.25">
      <c r="A24" s="2" t="s">
        <v>162</v>
      </c>
      <c r="B24" s="2" t="s">
        <v>105</v>
      </c>
      <c r="C24" s="6">
        <v>50</v>
      </c>
      <c r="D24" s="8">
        <f>IFERROR(INDEX(Items!$E$2:$E$138,MATCH(B24,Items!$A$2:$A$138,0)),"")</f>
        <v>0.5</v>
      </c>
      <c r="E24" s="4">
        <f>IF(ISNUMBER(D24),C24*D24,"")</f>
        <v>25</v>
      </c>
      <c r="F24" s="10">
        <f>C24/INDEX(Recipes!$C:$C,MATCH(A24,Recipes!$A:$A,0))</f>
        <v>0.2</v>
      </c>
    </row>
    <row r="25" spans="1:6" x14ac:dyDescent="0.25">
      <c r="A25" s="2" t="s">
        <v>162</v>
      </c>
      <c r="B25" s="2" t="s">
        <v>138</v>
      </c>
      <c r="C25" s="6">
        <v>50</v>
      </c>
      <c r="D25" s="8">
        <f>IFERROR(INDEX(Items!$E$2:$E$138,MATCH(B25,Items!$A$2:$A$138,0)),"")</f>
        <v>0.01</v>
      </c>
      <c r="E25" s="4">
        <f>IF(ISNUMBER(D25),C25*D25,"")</f>
        <v>0.5</v>
      </c>
      <c r="F25" s="10">
        <f>C25/INDEX(Recipes!$C:$C,MATCH(A25,Recipes!$A:$A,0))</f>
        <v>0.2</v>
      </c>
    </row>
    <row r="26" spans="1:6" x14ac:dyDescent="0.25">
      <c r="A26" s="2" t="s">
        <v>164</v>
      </c>
      <c r="B26" s="2" t="s">
        <v>107</v>
      </c>
      <c r="C26" s="6">
        <v>50</v>
      </c>
      <c r="D26" s="8">
        <f>IFERROR(INDEX(Items!$E$2:$E$138,MATCH(B26,Items!$A$2:$A$138,0)),"")</f>
        <v>0.5</v>
      </c>
      <c r="E26" s="4">
        <f>IF(ISNUMBER(D26),C26*D26,"")</f>
        <v>25</v>
      </c>
      <c r="F26" s="10">
        <f>C26/INDEX(Recipes!$C:$C,MATCH(A26,Recipes!$A:$A,0))</f>
        <v>0.2</v>
      </c>
    </row>
    <row r="27" spans="1:6" x14ac:dyDescent="0.25">
      <c r="A27" s="2" t="s">
        <v>164</v>
      </c>
      <c r="B27" s="2" t="s">
        <v>138</v>
      </c>
      <c r="C27" s="6">
        <v>50</v>
      </c>
      <c r="D27" s="8">
        <f>IFERROR(INDEX(Items!$E$2:$E$138,MATCH(B27,Items!$A$2:$A$138,0)),"")</f>
        <v>0.01</v>
      </c>
      <c r="E27" s="4">
        <f>IF(ISNUMBER(D27),C27*D27,"")</f>
        <v>0.5</v>
      </c>
      <c r="F27" s="10">
        <f>C27/INDEX(Recipes!$C:$C,MATCH(A27,Recipes!$A:$A,0))</f>
        <v>0.2</v>
      </c>
    </row>
    <row r="28" spans="1:6" x14ac:dyDescent="0.25">
      <c r="A28" s="2" t="s">
        <v>143</v>
      </c>
      <c r="B28" s="2" t="s">
        <v>113</v>
      </c>
      <c r="C28" s="6">
        <v>50</v>
      </c>
      <c r="D28" s="8">
        <f>IFERROR(INDEX(Items!$E$2:$E$138,MATCH(B28,Items!$A$2:$A$138,0)),"")</f>
        <v>0.5</v>
      </c>
      <c r="E28" s="4">
        <f>IF(ISNUMBER(D28),C28*D28,"")</f>
        <v>25</v>
      </c>
      <c r="F28" s="10">
        <f>C28/INDEX(Recipes!$C:$C,MATCH(A28,Recipes!$A:$A,0))</f>
        <v>0.2</v>
      </c>
    </row>
    <row r="29" spans="1:6" x14ac:dyDescent="0.25">
      <c r="A29" s="2" t="s">
        <v>143</v>
      </c>
      <c r="B29" s="2" t="s">
        <v>138</v>
      </c>
      <c r="C29" s="6">
        <v>50</v>
      </c>
      <c r="D29" s="8">
        <f>IFERROR(INDEX(Items!$E$2:$E$138,MATCH(B29,Items!$A$2:$A$138,0)),"")</f>
        <v>0.01</v>
      </c>
      <c r="E29" s="4">
        <f>IF(ISNUMBER(D29),C29*D29,"")</f>
        <v>0.5</v>
      </c>
      <c r="F29" s="10">
        <f>C29/INDEX(Recipes!$C:$C,MATCH(A29,Recipes!$A:$A,0))</f>
        <v>0.2</v>
      </c>
    </row>
    <row r="30" spans="1:6" x14ac:dyDescent="0.25">
      <c r="A30" s="2" t="s">
        <v>166</v>
      </c>
      <c r="B30" s="2" t="s">
        <v>115</v>
      </c>
      <c r="C30" s="6">
        <v>50</v>
      </c>
      <c r="D30" s="8">
        <f>IFERROR(INDEX(Items!$E$2:$E$138,MATCH(B30,Items!$A$2:$A$138,0)),"")</f>
        <v>0.5</v>
      </c>
      <c r="E30" s="4">
        <f>IF(ISNUMBER(D30),C30*D30,"")</f>
        <v>25</v>
      </c>
      <c r="F30" s="10">
        <f>C30/INDEX(Recipes!$C:$C,MATCH(A30,Recipes!$A:$A,0))</f>
        <v>0.2</v>
      </c>
    </row>
    <row r="31" spans="1:6" x14ac:dyDescent="0.25">
      <c r="A31" s="2" t="s">
        <v>166</v>
      </c>
      <c r="B31" s="2" t="s">
        <v>138</v>
      </c>
      <c r="C31" s="6">
        <v>50</v>
      </c>
      <c r="D31" s="8">
        <f>IFERROR(INDEX(Items!$E$2:$E$138,MATCH(B31,Items!$A$2:$A$138,0)),"")</f>
        <v>0.01</v>
      </c>
      <c r="E31" s="4">
        <f>IF(ISNUMBER(D31),C31*D31,"")</f>
        <v>0.5</v>
      </c>
      <c r="F31" s="10">
        <f>C31/INDEX(Recipes!$C:$C,MATCH(A31,Recipes!$A:$A,0))</f>
        <v>0.2</v>
      </c>
    </row>
    <row r="32" spans="1:6" x14ac:dyDescent="0.25">
      <c r="A32" s="2" t="s">
        <v>148</v>
      </c>
      <c r="B32" s="2" t="s">
        <v>117</v>
      </c>
      <c r="C32" s="6">
        <v>50</v>
      </c>
      <c r="D32" s="8">
        <f>IFERROR(INDEX(Items!$E$2:$E$138,MATCH(B32,Items!$A$2:$A$138,0)),"")</f>
        <v>0.5</v>
      </c>
      <c r="E32" s="4">
        <f>IF(ISNUMBER(D32),C32*D32,"")</f>
        <v>25</v>
      </c>
      <c r="F32" s="10">
        <f>C32/INDEX(Recipes!$C:$C,MATCH(A32,Recipes!$A:$A,0))</f>
        <v>0.2</v>
      </c>
    </row>
    <row r="33" spans="1:6" x14ac:dyDescent="0.25">
      <c r="A33" s="2" t="s">
        <v>148</v>
      </c>
      <c r="B33" s="2" t="s">
        <v>138</v>
      </c>
      <c r="C33" s="6">
        <v>50</v>
      </c>
      <c r="D33" s="8">
        <f>IFERROR(INDEX(Items!$E$2:$E$138,MATCH(B33,Items!$A$2:$A$138,0)),"")</f>
        <v>0.01</v>
      </c>
      <c r="E33" s="4">
        <f>IF(ISNUMBER(D33),C33*D33,"")</f>
        <v>0.5</v>
      </c>
      <c r="F33" s="10">
        <f>C33/INDEX(Recipes!$C:$C,MATCH(A33,Recipes!$A:$A,0))</f>
        <v>0.2</v>
      </c>
    </row>
    <row r="34" spans="1:6" x14ac:dyDescent="0.25">
      <c r="A34" s="2" t="s">
        <v>168</v>
      </c>
      <c r="B34" s="2" t="s">
        <v>138</v>
      </c>
      <c r="C34" s="6">
        <v>50</v>
      </c>
      <c r="D34" s="8">
        <f>IFERROR(INDEX(Items!$E$2:$E$138,MATCH(B34,Items!$A$2:$A$138,0)),"")</f>
        <v>0.01</v>
      </c>
      <c r="E34" s="4">
        <f>IF(ISNUMBER(D34),C34*D34,"")</f>
        <v>0.5</v>
      </c>
      <c r="F34" s="10">
        <f>C34/INDEX(Recipes!$C:$C,MATCH(A34,Recipes!$A:$A,0))</f>
        <v>1</v>
      </c>
    </row>
    <row r="35" spans="1:6" x14ac:dyDescent="0.25">
      <c r="A35" s="2" t="s">
        <v>168</v>
      </c>
      <c r="B35" s="2" t="s">
        <v>21</v>
      </c>
      <c r="C35" s="6">
        <v>50</v>
      </c>
      <c r="D35" s="8">
        <f>IFERROR(INDEX(Items!$E$2:$E$138,MATCH(B35,Items!$A$2:$A$138,0)),"")</f>
        <v>0.24</v>
      </c>
      <c r="E35" s="4">
        <f>IF(ISNUMBER(D35),C35*D35,"")</f>
        <v>12</v>
      </c>
      <c r="F35" s="10">
        <f>C35/INDEX(Recipes!$C:$C,MATCH(A35,Recipes!$A:$A,0))</f>
        <v>1</v>
      </c>
    </row>
    <row r="36" spans="1:6" x14ac:dyDescent="0.25">
      <c r="A36" s="2" t="s">
        <v>168</v>
      </c>
      <c r="B36" s="2" t="s">
        <v>141</v>
      </c>
      <c r="C36" s="6">
        <v>50</v>
      </c>
      <c r="D36" s="8">
        <f>IFERROR(INDEX(Items!$E$2:$E$138,MATCH(B36,Items!$A$2:$A$138,0)),"")</f>
        <v>0.01</v>
      </c>
      <c r="E36" s="4">
        <f>IF(ISNUMBER(D36),C36*D36,"")</f>
        <v>0.5</v>
      </c>
      <c r="F36" s="10">
        <f>C36/INDEX(Recipes!$C:$C,MATCH(A36,Recipes!$A:$A,0))</f>
        <v>1</v>
      </c>
    </row>
    <row r="37" spans="1:6" x14ac:dyDescent="0.25">
      <c r="A37" s="2" t="s">
        <v>168</v>
      </c>
      <c r="B37" s="2" t="s">
        <v>35</v>
      </c>
      <c r="C37" s="6">
        <v>50</v>
      </c>
      <c r="D37" s="8">
        <f>IFERROR(INDEX(Items!$E$2:$E$138,MATCH(B37,Items!$A$2:$A$138,0)),"")</f>
        <v>0.01</v>
      </c>
      <c r="E37" s="4">
        <f>IF(ISNUMBER(D37),C37*D37,"")</f>
        <v>0.5</v>
      </c>
      <c r="F37" s="10">
        <f>C37/INDEX(Recipes!$C:$C,MATCH(A37,Recipes!$A:$A,0))</f>
        <v>1</v>
      </c>
    </row>
    <row r="38" spans="1:6" x14ac:dyDescent="0.25">
      <c r="A38" s="2" t="s">
        <v>168</v>
      </c>
      <c r="B38" s="2" t="s">
        <v>71</v>
      </c>
      <c r="C38" s="6">
        <v>50</v>
      </c>
      <c r="D38" s="8">
        <f>IFERROR(INDEX(Items!$E$2:$E$138,MATCH(B38,Items!$A$2:$A$138,0)),"")</f>
        <v>0.02</v>
      </c>
      <c r="E38" s="4">
        <f>IF(ISNUMBER(D38),C38*D38,"")</f>
        <v>1</v>
      </c>
      <c r="F38" s="10">
        <f>C38/INDEX(Recipes!$C:$C,MATCH(A38,Recipes!$A:$A,0))</f>
        <v>1</v>
      </c>
    </row>
    <row r="39" spans="1:6" x14ac:dyDescent="0.25">
      <c r="A39" s="2" t="s">
        <v>172</v>
      </c>
      <c r="B39" s="2" t="s">
        <v>63</v>
      </c>
      <c r="C39" s="6">
        <v>100</v>
      </c>
      <c r="D39" s="8">
        <f>IFERROR(INDEX(Items!$E$2:$E$138,MATCH(B39,Items!$A$2:$A$138,0)),"")</f>
        <v>0.35</v>
      </c>
      <c r="E39" s="4">
        <f>IF(ISNUMBER(D39),C39*D39,"")</f>
        <v>35</v>
      </c>
      <c r="F39" s="10">
        <f>C39/INDEX(Recipes!$C:$C,MATCH(A39,Recipes!$A:$A,0))</f>
        <v>2</v>
      </c>
    </row>
    <row r="40" spans="1:6" x14ac:dyDescent="0.25">
      <c r="A40" s="2" t="s">
        <v>172</v>
      </c>
      <c r="B40" s="2" t="s">
        <v>121</v>
      </c>
      <c r="C40" s="6">
        <v>50</v>
      </c>
      <c r="D40" s="8">
        <f>IFERROR(INDEX(Items!$E$2:$E$138,MATCH(B40,Items!$A$2:$A$138,0)),"")</f>
        <v>0.05</v>
      </c>
      <c r="E40" s="4">
        <f>IF(ISNUMBER(D40),C40*D40,"")</f>
        <v>2.5</v>
      </c>
      <c r="F40" s="10">
        <f>C40/INDEX(Recipes!$C:$C,MATCH(A40,Recipes!$A:$A,0))</f>
        <v>1</v>
      </c>
    </row>
    <row r="41" spans="1:6" x14ac:dyDescent="0.25">
      <c r="A41" s="2" t="s">
        <v>172</v>
      </c>
      <c r="B41" s="2" t="s">
        <v>141</v>
      </c>
      <c r="C41" s="6">
        <v>50</v>
      </c>
      <c r="D41" s="8">
        <f>IFERROR(INDEX(Items!$E$2:$E$138,MATCH(B41,Items!$A$2:$A$138,0)),"")</f>
        <v>0.01</v>
      </c>
      <c r="E41" s="4">
        <f>IF(ISNUMBER(D41),C41*D41,"")</f>
        <v>0.5</v>
      </c>
      <c r="F41" s="10">
        <f>C41/INDEX(Recipes!$C:$C,MATCH(A41,Recipes!$A:$A,0))</f>
        <v>1</v>
      </c>
    </row>
    <row r="42" spans="1:6" x14ac:dyDescent="0.25">
      <c r="A42" s="2" t="s">
        <v>175</v>
      </c>
      <c r="B42" s="2" t="s">
        <v>65</v>
      </c>
      <c r="C42" s="6">
        <v>200</v>
      </c>
      <c r="D42" s="8">
        <f>IFERROR(INDEX(Items!$E$2:$E$138,MATCH(B42,Items!$A$2:$A$138,0)),"")</f>
        <v>0.55</v>
      </c>
      <c r="E42" s="4">
        <f>IF(ISNUMBER(D42),C42*D42,"")</f>
        <v>110.00000000000001</v>
      </c>
      <c r="F42" s="10">
        <f>C42/INDEX(Recipes!$C:$C,MATCH(A42,Recipes!$A:$A,0))</f>
        <v>1</v>
      </c>
    </row>
    <row r="43" spans="1:6" x14ac:dyDescent="0.25">
      <c r="A43" s="2" t="s">
        <v>175</v>
      </c>
      <c r="B43" s="2" t="s">
        <v>52</v>
      </c>
      <c r="C43" s="6">
        <v>200</v>
      </c>
      <c r="D43" s="8">
        <f>IFERROR(INDEX(Items!$E$2:$E$138,MATCH(B43,Items!$A$2:$A$138,0)),"")</f>
        <v>0.55</v>
      </c>
      <c r="E43" s="4">
        <f>IF(ISNUMBER(D43),C43*D43,"")</f>
        <v>110.00000000000001</v>
      </c>
      <c r="F43" s="10">
        <f>C43/INDEX(Recipes!$C:$C,MATCH(A43,Recipes!$A:$A,0))</f>
        <v>1</v>
      </c>
    </row>
    <row r="44" spans="1:6" x14ac:dyDescent="0.25">
      <c r="A44" s="2" t="s">
        <v>175</v>
      </c>
      <c r="B44" s="2" t="s">
        <v>37</v>
      </c>
      <c r="C44" s="6">
        <v>40</v>
      </c>
      <c r="D44" s="8">
        <f>IFERROR(INDEX(Items!$E$2:$E$138,MATCH(B44,Items!$A$2:$A$138,0)),"")</f>
        <v>0.32</v>
      </c>
      <c r="E44" s="4">
        <f>IF(ISNUMBER(D44),C44*D44,"")</f>
        <v>12.8</v>
      </c>
      <c r="F44" s="10">
        <f>C44/INDEX(Recipes!$C:$C,MATCH(A44,Recipes!$A:$A,0))</f>
        <v>0.2</v>
      </c>
    </row>
    <row r="45" spans="1:6" x14ac:dyDescent="0.25">
      <c r="A45" s="2" t="s">
        <v>179</v>
      </c>
      <c r="B45" s="2" t="s">
        <v>37</v>
      </c>
      <c r="C45" s="6">
        <v>200</v>
      </c>
      <c r="D45" s="8">
        <f>IFERROR(INDEX(Items!$E$2:$E$138,MATCH(B45,Items!$A$2:$A$138,0)),"")</f>
        <v>0.32</v>
      </c>
      <c r="E45" s="4">
        <f>IF(ISNUMBER(D45),C45*D45,"")</f>
        <v>64</v>
      </c>
      <c r="F45" s="10">
        <f>C45/INDEX(Recipes!$C:$C,MATCH(A45,Recipes!$A:$A,0))</f>
        <v>1</v>
      </c>
    </row>
    <row r="46" spans="1:6" x14ac:dyDescent="0.25">
      <c r="A46" s="2" t="s">
        <v>182</v>
      </c>
      <c r="B46" s="2" t="s">
        <v>39</v>
      </c>
      <c r="C46" s="6">
        <v>200</v>
      </c>
      <c r="D46" s="8">
        <f>IFERROR(INDEX(Items!$E$2:$E$138,MATCH(B46,Items!$A$2:$A$138,0)),"")</f>
        <v>0.35</v>
      </c>
      <c r="E46" s="4">
        <f>IF(ISNUMBER(D46),C46*D46,"")</f>
        <v>70</v>
      </c>
      <c r="F46" s="10">
        <f>C46/INDEX(Recipes!$C:$C,MATCH(A46,Recipes!$A:$A,0))</f>
        <v>1</v>
      </c>
    </row>
    <row r="47" spans="1:6" x14ac:dyDescent="0.25">
      <c r="A47" s="2" t="s">
        <v>182</v>
      </c>
      <c r="B47" s="2" t="s">
        <v>136</v>
      </c>
      <c r="C47" s="6">
        <v>100</v>
      </c>
      <c r="D47" s="8">
        <f>IFERROR(INDEX(Items!$E$2:$E$138,MATCH(B47,Items!$A$2:$A$138,0)),"")</f>
        <v>0.1</v>
      </c>
      <c r="E47" s="4">
        <f>IF(ISNUMBER(D47),C47*D47,"")</f>
        <v>10</v>
      </c>
      <c r="F47" s="10">
        <f>C47/INDEX(Recipes!$C:$C,MATCH(A47,Recipes!$A:$A,0))</f>
        <v>0.5</v>
      </c>
    </row>
    <row r="48" spans="1:6" x14ac:dyDescent="0.25">
      <c r="A48" s="2" t="s">
        <v>182</v>
      </c>
      <c r="B48" s="2" t="s">
        <v>87</v>
      </c>
      <c r="C48" s="6">
        <v>100</v>
      </c>
      <c r="D48" s="8">
        <f>IFERROR(INDEX(Items!$E$2:$E$138,MATCH(B48,Items!$A$2:$A$138,0)),"")</f>
        <v>0.14</v>
      </c>
      <c r="E48" s="4">
        <f>IF(ISNUMBER(D48),C48*D48,"")</f>
        <v>14.000000000000002</v>
      </c>
      <c r="F48" s="10">
        <f>C48/INDEX(Recipes!$C:$C,MATCH(A48,Recipes!$A:$A,0))</f>
        <v>0.5</v>
      </c>
    </row>
    <row r="49" spans="1:6" x14ac:dyDescent="0.25">
      <c r="A49" s="2" t="s">
        <v>182</v>
      </c>
      <c r="B49" s="2" t="s">
        <v>91</v>
      </c>
      <c r="C49" s="6">
        <v>100</v>
      </c>
      <c r="D49" s="8">
        <f>IFERROR(INDEX(Items!$E$2:$E$138,MATCH(B49,Items!$A$2:$A$138,0)),"")</f>
        <v>0.1</v>
      </c>
      <c r="E49" s="4">
        <f>IF(ISNUMBER(D49),C49*D49,"")</f>
        <v>10</v>
      </c>
      <c r="F49" s="10">
        <f>C49/INDEX(Recipes!$C:$C,MATCH(A49,Recipes!$A:$A,0))</f>
        <v>0.5</v>
      </c>
    </row>
    <row r="50" spans="1:6" x14ac:dyDescent="0.25">
      <c r="A50" s="2" t="s">
        <v>184</v>
      </c>
      <c r="B50" s="2" t="s">
        <v>41</v>
      </c>
      <c r="C50" s="6">
        <v>20</v>
      </c>
      <c r="D50" s="8">
        <f>IFERROR(INDEX(Items!$E$2:$E$138,MATCH(B50,Items!$A$2:$A$138,0)),"")</f>
        <v>1</v>
      </c>
      <c r="E50" s="4">
        <f>IF(ISNUMBER(D50),C50*D50,"")</f>
        <v>20</v>
      </c>
      <c r="F50" s="10">
        <f>C50/INDEX(Recipes!$C:$C,MATCH(A50,Recipes!$A:$A,0))</f>
        <v>0.2</v>
      </c>
    </row>
    <row r="51" spans="1:6" x14ac:dyDescent="0.25">
      <c r="A51" s="2" t="s">
        <v>184</v>
      </c>
      <c r="B51" s="2" t="s">
        <v>126</v>
      </c>
      <c r="C51" s="6">
        <v>100</v>
      </c>
      <c r="D51" s="8">
        <f>IFERROR(INDEX(Items!$E$2:$E$138,MATCH(B51,Items!$A$2:$A$138,0)),"")</f>
        <v>0.5</v>
      </c>
      <c r="E51" s="4">
        <f>IF(ISNUMBER(D51),C51*D51,"")</f>
        <v>50</v>
      </c>
      <c r="F51" s="10">
        <f>C51/INDEX(Recipes!$C:$C,MATCH(A51,Recipes!$A:$A,0))</f>
        <v>1</v>
      </c>
    </row>
    <row r="52" spans="1:6" x14ac:dyDescent="0.25">
      <c r="A52" s="2" t="s">
        <v>187</v>
      </c>
      <c r="B52" s="2" t="s">
        <v>54</v>
      </c>
      <c r="C52" s="6">
        <v>120</v>
      </c>
      <c r="D52" s="8">
        <f>IFERROR(INDEX(Items!$E$2:$E$138,MATCH(B52,Items!$A$2:$A$138,0)),"")</f>
        <v>6</v>
      </c>
      <c r="E52" s="4">
        <f>IF(ISNUMBER(D52),C52*D52,"")</f>
        <v>720</v>
      </c>
      <c r="F52" s="10">
        <f>C52/INDEX(Recipes!$C:$C,MATCH(A52,Recipes!$A:$A,0))</f>
        <v>2</v>
      </c>
    </row>
    <row r="53" spans="1:6" x14ac:dyDescent="0.25">
      <c r="A53" s="2" t="s">
        <v>190</v>
      </c>
      <c r="B53" s="2" t="s">
        <v>54</v>
      </c>
      <c r="C53" s="6">
        <v>120</v>
      </c>
      <c r="D53" s="8">
        <f>IFERROR(INDEX(Items!$E$2:$E$138,MATCH(B53,Items!$A$2:$A$138,0)),"")</f>
        <v>6</v>
      </c>
      <c r="E53" s="4">
        <f>IF(ISNUMBER(D53),C53*D53,"")</f>
        <v>720</v>
      </c>
      <c r="F53" s="10">
        <f>C53/INDEX(Recipes!$C:$C,MATCH(A53,Recipes!$A:$A,0))</f>
        <v>2</v>
      </c>
    </row>
    <row r="54" spans="1:6" x14ac:dyDescent="0.25">
      <c r="A54" s="2" t="s">
        <v>192</v>
      </c>
      <c r="B54" s="2" t="s">
        <v>56</v>
      </c>
      <c r="C54" s="6">
        <v>60</v>
      </c>
      <c r="D54" s="8">
        <f>IFERROR(INDEX(Items!$E$2:$E$138,MATCH(B54,Items!$A$2:$A$138,0)),"")</f>
        <v>12</v>
      </c>
      <c r="E54" s="4">
        <f>IF(ISNUMBER(D54),C54*D54,"")</f>
        <v>720</v>
      </c>
      <c r="F54" s="10">
        <f>C54/INDEX(Recipes!$C:$C,MATCH(A54,Recipes!$A:$A,0))</f>
        <v>2</v>
      </c>
    </row>
    <row r="55" spans="1:6" x14ac:dyDescent="0.25">
      <c r="A55" s="2" t="s">
        <v>195</v>
      </c>
      <c r="B55" s="2" t="s">
        <v>56</v>
      </c>
      <c r="C55" s="6">
        <v>60</v>
      </c>
      <c r="D55" s="8">
        <f>IFERROR(INDEX(Items!$E$2:$E$138,MATCH(B55,Items!$A$2:$A$138,0)),"")</f>
        <v>12</v>
      </c>
      <c r="E55" s="4">
        <f>IF(ISNUMBER(D55),C55*D55,"")</f>
        <v>720</v>
      </c>
      <c r="F55" s="10">
        <f>C55/INDEX(Recipes!$C:$C,MATCH(A55,Recipes!$A:$A,0))</f>
        <v>2</v>
      </c>
    </row>
    <row r="56" spans="1:6" x14ac:dyDescent="0.25">
      <c r="A56" s="2" t="s">
        <v>197</v>
      </c>
      <c r="B56" s="2" t="s">
        <v>54</v>
      </c>
      <c r="C56" s="6">
        <v>120</v>
      </c>
      <c r="D56" s="8">
        <f>IFERROR(INDEX(Items!$E$2:$E$138,MATCH(B56,Items!$A$2:$A$138,0)),"")</f>
        <v>6</v>
      </c>
      <c r="E56" s="4">
        <f>IF(ISNUMBER(D56),C56*D56,"")</f>
        <v>720</v>
      </c>
      <c r="F56" s="10">
        <f>C56/INDEX(Recipes!$C:$C,MATCH(A56,Recipes!$A:$A,0))</f>
        <v>2</v>
      </c>
    </row>
    <row r="57" spans="1:6" x14ac:dyDescent="0.25">
      <c r="A57" s="2" t="s">
        <v>199</v>
      </c>
      <c r="B57" s="2" t="s">
        <v>54</v>
      </c>
      <c r="C57" s="6">
        <v>120</v>
      </c>
      <c r="D57" s="8">
        <f>IFERROR(INDEX(Items!$E$2:$E$138,MATCH(B57,Items!$A$2:$A$138,0)),"")</f>
        <v>6</v>
      </c>
      <c r="E57" s="4">
        <f>IF(ISNUMBER(D57),C57*D57,"")</f>
        <v>720</v>
      </c>
      <c r="F57" s="10">
        <f>C57/INDEX(Recipes!$C:$C,MATCH(A57,Recipes!$A:$A,0))</f>
        <v>2</v>
      </c>
    </row>
    <row r="58" spans="1:6" x14ac:dyDescent="0.25">
      <c r="A58" s="2" t="s">
        <v>201</v>
      </c>
      <c r="B58" s="2" t="s">
        <v>56</v>
      </c>
      <c r="C58" s="6">
        <v>60</v>
      </c>
      <c r="D58" s="8">
        <f>IFERROR(INDEX(Items!$E$2:$E$138,MATCH(B58,Items!$A$2:$A$138,0)),"")</f>
        <v>12</v>
      </c>
      <c r="E58" s="4">
        <f>IF(ISNUMBER(D58),C58*D58,"")</f>
        <v>720</v>
      </c>
      <c r="F58" s="10">
        <f>C58/INDEX(Recipes!$C:$C,MATCH(A58,Recipes!$A:$A,0))</f>
        <v>2</v>
      </c>
    </row>
    <row r="59" spans="1:6" x14ac:dyDescent="0.25">
      <c r="A59" s="2" t="s">
        <v>203</v>
      </c>
      <c r="B59" s="2" t="s">
        <v>56</v>
      </c>
      <c r="C59" s="6">
        <v>60</v>
      </c>
      <c r="D59" s="8">
        <f>IFERROR(INDEX(Items!$E$2:$E$138,MATCH(B59,Items!$A$2:$A$138,0)),"")</f>
        <v>12</v>
      </c>
      <c r="E59" s="4">
        <f>IF(ISNUMBER(D59),C59*D59,"")</f>
        <v>720</v>
      </c>
      <c r="F59" s="10">
        <f>C59/INDEX(Recipes!$C:$C,MATCH(A59,Recipes!$A:$A,0))</f>
        <v>2</v>
      </c>
    </row>
    <row r="60" spans="1:6" x14ac:dyDescent="0.25">
      <c r="A60" s="2" t="s">
        <v>205</v>
      </c>
      <c r="B60" s="2" t="s">
        <v>121</v>
      </c>
      <c r="C60" s="6">
        <v>200</v>
      </c>
      <c r="D60" s="8">
        <f>IFERROR(INDEX(Items!$E$2:$E$138,MATCH(B60,Items!$A$2:$A$138,0)),"")</f>
        <v>0.05</v>
      </c>
      <c r="E60" s="4">
        <f>IF(ISNUMBER(D60),C60*D60,"")</f>
        <v>10</v>
      </c>
      <c r="F60" s="10">
        <f>C60/INDEX(Recipes!$C:$C,MATCH(A60,Recipes!$A:$A,0))</f>
        <v>1</v>
      </c>
    </row>
    <row r="61" spans="1:6" x14ac:dyDescent="0.25">
      <c r="A61" s="2" t="s">
        <v>208</v>
      </c>
      <c r="B61" s="2" t="s">
        <v>52</v>
      </c>
      <c r="C61" s="6">
        <v>200</v>
      </c>
      <c r="D61" s="8">
        <f>IFERROR(INDEX(Items!$E$2:$E$138,MATCH(B61,Items!$A$2:$A$138,0)),"")</f>
        <v>0.55</v>
      </c>
      <c r="E61" s="4">
        <f>IF(ISNUMBER(D61),C61*D61,"")</f>
        <v>110.00000000000001</v>
      </c>
      <c r="F61" s="10">
        <f>C61/INDEX(Recipes!$C:$C,MATCH(A61,Recipes!$A:$A,0))</f>
        <v>1</v>
      </c>
    </row>
    <row r="62" spans="1:6" x14ac:dyDescent="0.25">
      <c r="A62" s="2" t="s">
        <v>208</v>
      </c>
      <c r="B62" s="2" t="s">
        <v>29</v>
      </c>
      <c r="C62" s="6">
        <v>100</v>
      </c>
      <c r="D62" s="8">
        <f>IFERROR(INDEX(Items!$E$2:$E$138,MATCH(B62,Items!$A$2:$A$138,0)),"")</f>
        <v>0.5</v>
      </c>
      <c r="E62" s="4">
        <f>IF(ISNUMBER(D62),C62*D62,"")</f>
        <v>50</v>
      </c>
      <c r="F62" s="10">
        <f>C62/INDEX(Recipes!$C:$C,MATCH(A62,Recipes!$A:$A,0))</f>
        <v>0.5</v>
      </c>
    </row>
    <row r="63" spans="1:6" x14ac:dyDescent="0.25">
      <c r="A63" s="2" t="s">
        <v>211</v>
      </c>
      <c r="B63" s="2" t="s">
        <v>138</v>
      </c>
      <c r="C63" s="6">
        <v>250</v>
      </c>
      <c r="D63" s="8">
        <f>IFERROR(INDEX(Items!$E$2:$E$138,MATCH(B63,Items!$A$2:$A$138,0)),"")</f>
        <v>0.01</v>
      </c>
      <c r="E63" s="4">
        <f>IF(ISNUMBER(D63),C63*D63,"")</f>
        <v>2.5</v>
      </c>
      <c r="F63" s="10">
        <f>C63/INDEX(Recipes!$C:$C,MATCH(A63,Recipes!$A:$A,0))</f>
        <v>1</v>
      </c>
    </row>
    <row r="64" spans="1:6" x14ac:dyDescent="0.25">
      <c r="A64" s="2" t="s">
        <v>211</v>
      </c>
      <c r="B64" s="2" t="s">
        <v>67</v>
      </c>
      <c r="C64" s="6">
        <v>250</v>
      </c>
      <c r="D64" s="8">
        <f>IFERROR(INDEX(Items!$E$2:$E$138,MATCH(B64,Items!$A$2:$A$138,0)),"")</f>
        <v>0.12</v>
      </c>
      <c r="E64" s="4">
        <f>IF(ISNUMBER(D64),C64*D64,"")</f>
        <v>30</v>
      </c>
      <c r="F64" s="10">
        <f>C64/INDEX(Recipes!$C:$C,MATCH(A64,Recipes!$A:$A,0))</f>
        <v>1</v>
      </c>
    </row>
    <row r="65" spans="1:6" x14ac:dyDescent="0.25">
      <c r="A65" s="2" t="s">
        <v>214</v>
      </c>
      <c r="B65" s="2" t="s">
        <v>138</v>
      </c>
      <c r="C65" s="6">
        <v>250</v>
      </c>
      <c r="D65" s="8">
        <f>IFERROR(INDEX(Items!$E$2:$E$138,MATCH(B65,Items!$A$2:$A$138,0)),"")</f>
        <v>0.01</v>
      </c>
      <c r="E65" s="4">
        <f>IF(ISNUMBER(D65),C65*D65,"")</f>
        <v>2.5</v>
      </c>
      <c r="F65" s="10">
        <f>C65/INDEX(Recipes!$C:$C,MATCH(A65,Recipes!$A:$A,0))</f>
        <v>1</v>
      </c>
    </row>
    <row r="66" spans="1:6" x14ac:dyDescent="0.25">
      <c r="A66" s="2" t="s">
        <v>214</v>
      </c>
      <c r="B66" s="2" t="s">
        <v>124</v>
      </c>
      <c r="C66" s="6">
        <v>250</v>
      </c>
      <c r="D66" s="8">
        <f>IFERROR(INDEX(Items!$E$2:$E$138,MATCH(B66,Items!$A$2:$A$138,0)),"")</f>
        <v>0.12</v>
      </c>
      <c r="E66" s="4">
        <f>IF(ISNUMBER(D66),C66*D66,"")</f>
        <v>30</v>
      </c>
      <c r="F66" s="10">
        <f>C66/INDEX(Recipes!$C:$C,MATCH(A66,Recipes!$A:$A,0))</f>
        <v>1</v>
      </c>
    </row>
    <row r="67" spans="1:6" x14ac:dyDescent="0.25">
      <c r="A67" s="2" t="s">
        <v>216</v>
      </c>
      <c r="B67" s="2" t="s">
        <v>14</v>
      </c>
      <c r="C67" s="6">
        <v>200</v>
      </c>
      <c r="D67" s="8">
        <f>IFERROR(INDEX(Items!$E$2:$E$138,MATCH(B67,Items!$A$2:$A$138,0)),"")</f>
        <v>0.1</v>
      </c>
      <c r="E67" s="4">
        <f>IF(ISNUMBER(D67),C67*D67,"")</f>
        <v>20</v>
      </c>
      <c r="F67" s="10">
        <f>C67/INDEX(Recipes!$C:$C,MATCH(A67,Recipes!$A:$A,0))</f>
        <v>1</v>
      </c>
    </row>
    <row r="68" spans="1:6" x14ac:dyDescent="0.25">
      <c r="A68" s="2" t="s">
        <v>216</v>
      </c>
      <c r="B68" s="2" t="s">
        <v>85</v>
      </c>
      <c r="C68" s="6">
        <v>100</v>
      </c>
      <c r="D68" s="8">
        <f>IFERROR(INDEX(Items!$E$2:$E$138,MATCH(B68,Items!$A$2:$A$138,0)),"")</f>
        <v>0.05</v>
      </c>
      <c r="E68" s="4">
        <f>IF(ISNUMBER(D68),C68*D68,"")</f>
        <v>5</v>
      </c>
      <c r="F68" s="10">
        <f>C68/INDEX(Recipes!$C:$C,MATCH(A68,Recipes!$A:$A,0))</f>
        <v>0.5</v>
      </c>
    </row>
    <row r="69" spans="1:6" x14ac:dyDescent="0.25">
      <c r="A69" s="2" t="s">
        <v>216</v>
      </c>
      <c r="B69" s="2" t="s">
        <v>121</v>
      </c>
      <c r="C69" s="6">
        <v>100</v>
      </c>
      <c r="D69" s="8">
        <f>IFERROR(INDEX(Items!$E$2:$E$138,MATCH(B69,Items!$A$2:$A$138,0)),"")</f>
        <v>0.05</v>
      </c>
      <c r="E69" s="4">
        <f>IF(ISNUMBER(D69),C69*D69,"")</f>
        <v>5</v>
      </c>
      <c r="F69" s="10">
        <f>C69/INDEX(Recipes!$C:$C,MATCH(A69,Recipes!$A:$A,0))</f>
        <v>0.5</v>
      </c>
    </row>
    <row r="70" spans="1:6" x14ac:dyDescent="0.25">
      <c r="A70" s="2" t="s">
        <v>218</v>
      </c>
      <c r="B70" s="2" t="s">
        <v>85</v>
      </c>
      <c r="C70" s="6">
        <v>100</v>
      </c>
      <c r="D70" s="8">
        <f>IFERROR(INDEX(Items!$E$2:$E$138,MATCH(B70,Items!$A$2:$A$138,0)),"")</f>
        <v>0.05</v>
      </c>
      <c r="E70" s="4">
        <f>IF(ISNUMBER(D70),C70*D70,"")</f>
        <v>5</v>
      </c>
      <c r="F70" s="10">
        <f>C70/INDEX(Recipes!$C:$C,MATCH(A70,Recipes!$A:$A,0))</f>
        <v>0.5</v>
      </c>
    </row>
    <row r="71" spans="1:6" x14ac:dyDescent="0.25">
      <c r="A71" s="2" t="s">
        <v>218</v>
      </c>
      <c r="B71" s="2" t="s">
        <v>121</v>
      </c>
      <c r="C71" s="6">
        <v>100</v>
      </c>
      <c r="D71" s="8">
        <f>IFERROR(INDEX(Items!$E$2:$E$138,MATCH(B71,Items!$A$2:$A$138,0)),"")</f>
        <v>0.05</v>
      </c>
      <c r="E71" s="4">
        <f>IF(ISNUMBER(D71),C71*D71,"")</f>
        <v>5</v>
      </c>
      <c r="F71" s="10">
        <f>C71/INDEX(Recipes!$C:$C,MATCH(A71,Recipes!$A:$A,0))</f>
        <v>0.5</v>
      </c>
    </row>
    <row r="72" spans="1:6" x14ac:dyDescent="0.25">
      <c r="A72" s="2" t="s">
        <v>218</v>
      </c>
      <c r="B72" s="2" t="s">
        <v>52</v>
      </c>
      <c r="C72" s="6">
        <v>200</v>
      </c>
      <c r="D72" s="8">
        <f>IFERROR(INDEX(Items!$E$2:$E$138,MATCH(B72,Items!$A$2:$A$138,0)),"")</f>
        <v>0.55</v>
      </c>
      <c r="E72" s="4">
        <f>IF(ISNUMBER(D72),C72*D72,"")</f>
        <v>110.00000000000001</v>
      </c>
      <c r="F72" s="10">
        <f>C72/INDEX(Recipes!$C:$C,MATCH(A72,Recipes!$A:$A,0))</f>
        <v>1</v>
      </c>
    </row>
    <row r="73" spans="1:6" x14ac:dyDescent="0.25">
      <c r="A73" s="2" t="s">
        <v>220</v>
      </c>
      <c r="B73" s="2" t="s">
        <v>138</v>
      </c>
      <c r="C73" s="6">
        <v>250</v>
      </c>
      <c r="D73" s="8">
        <f>IFERROR(INDEX(Items!$E$2:$E$138,MATCH(B73,Items!$A$2:$A$138,0)),"")</f>
        <v>0.01</v>
      </c>
      <c r="E73" s="4">
        <f>IF(ISNUMBER(D73),C73*D73,"")</f>
        <v>2.5</v>
      </c>
      <c r="F73" s="10">
        <f>C73/INDEX(Recipes!$C:$C,MATCH(A73,Recipes!$A:$A,0))</f>
        <v>1</v>
      </c>
    </row>
    <row r="74" spans="1:6" x14ac:dyDescent="0.25">
      <c r="A74" s="2" t="s">
        <v>220</v>
      </c>
      <c r="B74" s="2" t="s">
        <v>121</v>
      </c>
      <c r="C74" s="6">
        <v>250</v>
      </c>
      <c r="D74" s="8">
        <f>IFERROR(INDEX(Items!$E$2:$E$138,MATCH(B74,Items!$A$2:$A$138,0)),"")</f>
        <v>0.05</v>
      </c>
      <c r="E74" s="4">
        <f>IF(ISNUMBER(D74),C74*D74,"")</f>
        <v>12.5</v>
      </c>
      <c r="F74" s="10">
        <f>C74/INDEX(Recipes!$C:$C,MATCH(A74,Recipes!$A:$A,0))</f>
        <v>1</v>
      </c>
    </row>
    <row r="75" spans="1:6" x14ac:dyDescent="0.25">
      <c r="A75" s="2" t="s">
        <v>220</v>
      </c>
      <c r="B75" s="2" t="s">
        <v>35</v>
      </c>
      <c r="C75" s="6">
        <v>250</v>
      </c>
      <c r="D75" s="8">
        <f>IFERROR(INDEX(Items!$E$2:$E$138,MATCH(B75,Items!$A$2:$A$138,0)),"")</f>
        <v>0.01</v>
      </c>
      <c r="E75" s="4">
        <f>IF(ISNUMBER(D75),C75*D75,"")</f>
        <v>2.5</v>
      </c>
      <c r="F75" s="10">
        <f>C75/INDEX(Recipes!$C:$C,MATCH(A75,Recipes!$A:$A,0))</f>
        <v>1</v>
      </c>
    </row>
    <row r="76" spans="1:6" x14ac:dyDescent="0.25">
      <c r="A76" s="2" t="s">
        <v>220</v>
      </c>
      <c r="B76" s="2" t="s">
        <v>31</v>
      </c>
      <c r="C76" s="6">
        <v>250</v>
      </c>
      <c r="D76" s="8">
        <f>IFERROR(INDEX(Items!$E$2:$E$138,MATCH(B76,Items!$A$2:$A$138,0)),"")</f>
        <v>0.1</v>
      </c>
      <c r="E76" s="4">
        <f>IF(ISNUMBER(D76),C76*D76,"")</f>
        <v>25</v>
      </c>
      <c r="F76" s="10">
        <f>C76/INDEX(Recipes!$C:$C,MATCH(A76,Recipes!$A:$A,0))</f>
        <v>1</v>
      </c>
    </row>
    <row r="77" spans="1:6" x14ac:dyDescent="0.25">
      <c r="A77" s="2" t="s">
        <v>223</v>
      </c>
      <c r="B77" s="2" t="s">
        <v>109</v>
      </c>
      <c r="C77" s="6">
        <v>100</v>
      </c>
      <c r="D77" s="8">
        <f>IFERROR(INDEX(Items!$E$2:$E$138,MATCH(B77,Items!$A$2:$A$138,0)),"")</f>
        <v>1.5</v>
      </c>
      <c r="E77" s="4">
        <f>IF(ISNUMBER(D77),C77*D77,"")</f>
        <v>150</v>
      </c>
      <c r="F77" s="10">
        <f>C77/INDEX(Recipes!$C:$C,MATCH(A77,Recipes!$A:$A,0))</f>
        <v>1</v>
      </c>
    </row>
    <row r="78" spans="1:6" x14ac:dyDescent="0.25">
      <c r="A78" s="2" t="s">
        <v>223</v>
      </c>
      <c r="B78" s="2" t="s">
        <v>138</v>
      </c>
      <c r="C78" s="6">
        <v>100</v>
      </c>
      <c r="D78" s="8">
        <f>IFERROR(INDEX(Items!$E$2:$E$138,MATCH(B78,Items!$A$2:$A$138,0)),"")</f>
        <v>0.01</v>
      </c>
      <c r="E78" s="4">
        <f>IF(ISNUMBER(D78),C78*D78,"")</f>
        <v>1</v>
      </c>
      <c r="F78" s="10">
        <f>C78/INDEX(Recipes!$C:$C,MATCH(A78,Recipes!$A:$A,0))</f>
        <v>1</v>
      </c>
    </row>
    <row r="79" spans="1:6" x14ac:dyDescent="0.25">
      <c r="A79" s="2" t="s">
        <v>226</v>
      </c>
      <c r="B79" s="2" t="s">
        <v>111</v>
      </c>
      <c r="C79" s="6">
        <v>100</v>
      </c>
      <c r="D79" s="8">
        <f>IFERROR(INDEX(Items!$E$2:$E$138,MATCH(B79,Items!$A$2:$A$138,0)),"")</f>
        <v>3</v>
      </c>
      <c r="E79" s="4">
        <f>IF(ISNUMBER(D79),C79*D79,"")</f>
        <v>300</v>
      </c>
      <c r="F79" s="10">
        <f>C79/INDEX(Recipes!$C:$C,MATCH(A79,Recipes!$A:$A,0))</f>
        <v>1</v>
      </c>
    </row>
    <row r="80" spans="1:6" x14ac:dyDescent="0.25">
      <c r="A80" s="2" t="s">
        <v>226</v>
      </c>
      <c r="B80" s="2" t="s">
        <v>138</v>
      </c>
      <c r="C80" s="6">
        <v>100</v>
      </c>
      <c r="D80" s="8">
        <f>IFERROR(INDEX(Items!$E$2:$E$138,MATCH(B80,Items!$A$2:$A$138,0)),"")</f>
        <v>0.01</v>
      </c>
      <c r="E80" s="4">
        <f>IF(ISNUMBER(D80),C80*D80,"")</f>
        <v>1</v>
      </c>
      <c r="F80" s="10">
        <f>C80/INDEX(Recipes!$C:$C,MATCH(A80,Recipes!$A:$A,0))</f>
        <v>1</v>
      </c>
    </row>
    <row r="81" spans="1:6" x14ac:dyDescent="0.25">
      <c r="A81" s="2" t="s">
        <v>229</v>
      </c>
      <c r="B81" s="2" t="s">
        <v>101</v>
      </c>
      <c r="C81" s="6">
        <v>200</v>
      </c>
      <c r="D81" s="8">
        <f>IFERROR(INDEX(Items!$E$2:$E$138,MATCH(B81,Items!$A$2:$A$138,0)),"")</f>
        <v>0.4</v>
      </c>
      <c r="E81" s="4">
        <f>IF(ISNUMBER(D81),C81*D81,"")</f>
        <v>80</v>
      </c>
      <c r="F81" s="10">
        <f>C81/INDEX(Recipes!$C:$C,MATCH(A81,Recipes!$A:$A,0))</f>
        <v>1</v>
      </c>
    </row>
    <row r="82" spans="1:6" x14ac:dyDescent="0.25">
      <c r="A82" s="2" t="s">
        <v>229</v>
      </c>
      <c r="B82" s="2" t="s">
        <v>148</v>
      </c>
      <c r="C82" s="6">
        <v>50</v>
      </c>
      <c r="D82" s="8">
        <f>IFERROR(INDEX(Items!$E$2:$E$138,MATCH(B82,Items!$A$2:$A$138,0)),"")</f>
        <v>0.29</v>
      </c>
      <c r="E82" s="4">
        <f>IF(ISNUMBER(D82),C82*D82,"")</f>
        <v>14.499999999999998</v>
      </c>
      <c r="F82" s="10">
        <f>C82/INDEX(Recipes!$C:$C,MATCH(A82,Recipes!$A:$A,0))</f>
        <v>0.25</v>
      </c>
    </row>
    <row r="83" spans="1:6" x14ac:dyDescent="0.25">
      <c r="A83" s="2" t="s">
        <v>231</v>
      </c>
      <c r="B83" s="2" t="s">
        <v>65</v>
      </c>
      <c r="C83" s="6">
        <v>200</v>
      </c>
      <c r="D83" s="8">
        <f>IFERROR(INDEX(Items!$E$2:$E$138,MATCH(B83,Items!$A$2:$A$138,0)),"")</f>
        <v>0.55</v>
      </c>
      <c r="E83" s="4">
        <f>IF(ISNUMBER(D83),C83*D83,"")</f>
        <v>110.00000000000001</v>
      </c>
      <c r="F83" s="10">
        <f>C83/INDEX(Recipes!$C:$C,MATCH(A83,Recipes!$A:$A,0))</f>
        <v>1</v>
      </c>
    </row>
    <row r="84" spans="1:6" x14ac:dyDescent="0.25">
      <c r="A84" s="2" t="s">
        <v>231</v>
      </c>
      <c r="B84" s="2" t="s">
        <v>101</v>
      </c>
      <c r="C84" s="6">
        <v>200</v>
      </c>
      <c r="D84" s="8">
        <f>IFERROR(INDEX(Items!$E$2:$E$138,MATCH(B84,Items!$A$2:$A$138,0)),"")</f>
        <v>0.4</v>
      </c>
      <c r="E84" s="4">
        <f>IF(ISNUMBER(D84),C84*D84,"")</f>
        <v>80</v>
      </c>
      <c r="F84" s="10">
        <f>C84/INDEX(Recipes!$C:$C,MATCH(A84,Recipes!$A:$A,0))</f>
        <v>1</v>
      </c>
    </row>
    <row r="85" spans="1:6" x14ac:dyDescent="0.25">
      <c r="A85" s="2" t="s">
        <v>231</v>
      </c>
      <c r="B85" s="2" t="s">
        <v>148</v>
      </c>
      <c r="C85" s="6">
        <v>100</v>
      </c>
      <c r="D85" s="8">
        <f>IFERROR(INDEX(Items!$E$2:$E$138,MATCH(B85,Items!$A$2:$A$138,0)),"")</f>
        <v>0.29</v>
      </c>
      <c r="E85" s="4">
        <f>IF(ISNUMBER(D85),C85*D85,"")</f>
        <v>28.999999999999996</v>
      </c>
      <c r="F85" s="10">
        <f>C85/INDEX(Recipes!$C:$C,MATCH(A85,Recipes!$A:$A,0))</f>
        <v>0.5</v>
      </c>
    </row>
    <row r="86" spans="1:6" x14ac:dyDescent="0.25">
      <c r="A86" s="2" t="s">
        <v>234</v>
      </c>
      <c r="B86" s="2" t="s">
        <v>39</v>
      </c>
      <c r="C86" s="6">
        <v>200</v>
      </c>
      <c r="D86" s="8">
        <f>IFERROR(INDEX(Items!$E$2:$E$138,MATCH(B86,Items!$A$2:$A$138,0)),"")</f>
        <v>0.35</v>
      </c>
      <c r="E86" s="4">
        <f>IF(ISNUMBER(D86),C86*D86,"")</f>
        <v>70</v>
      </c>
      <c r="F86" s="10">
        <f>C86/INDEX(Recipes!$C:$C,MATCH(A86,Recipes!$A:$A,0))</f>
        <v>1</v>
      </c>
    </row>
    <row r="87" spans="1:6" x14ac:dyDescent="0.25">
      <c r="A87" s="2" t="s">
        <v>234</v>
      </c>
      <c r="B87" s="2" t="s">
        <v>136</v>
      </c>
      <c r="C87" s="6">
        <v>100</v>
      </c>
      <c r="D87" s="8">
        <f>IFERROR(INDEX(Items!$E$2:$E$138,MATCH(B87,Items!$A$2:$A$138,0)),"")</f>
        <v>0.1</v>
      </c>
      <c r="E87" s="4">
        <f>IF(ISNUMBER(D87),C87*D87,"")</f>
        <v>10</v>
      </c>
      <c r="F87" s="10">
        <f>C87/INDEX(Recipes!$C:$C,MATCH(A87,Recipes!$A:$A,0))</f>
        <v>0.5</v>
      </c>
    </row>
    <row r="88" spans="1:6" x14ac:dyDescent="0.25">
      <c r="A88" s="2" t="s">
        <v>236</v>
      </c>
      <c r="B88" s="2" t="s">
        <v>46</v>
      </c>
      <c r="C88" s="6">
        <v>50</v>
      </c>
      <c r="D88" s="8">
        <f>IFERROR(INDEX(Items!$E$2:$E$138,MATCH(B88,Items!$A$2:$A$138,0)),"")</f>
        <v>2.5</v>
      </c>
      <c r="E88" s="4">
        <f>IF(ISNUMBER(D88),C88*D88,"")</f>
        <v>125</v>
      </c>
      <c r="F88" s="10">
        <f>C88/INDEX(Recipes!$C:$C,MATCH(A88,Recipes!$A:$A,0))</f>
        <v>0.5</v>
      </c>
    </row>
    <row r="89" spans="1:6" x14ac:dyDescent="0.25">
      <c r="A89" s="2" t="s">
        <v>239</v>
      </c>
      <c r="B89" s="2" t="s">
        <v>138</v>
      </c>
      <c r="C89" s="6">
        <v>100</v>
      </c>
      <c r="D89" s="8">
        <f>IFERROR(INDEX(Items!$E$2:$E$138,MATCH(B89,Items!$A$2:$A$138,0)),"")</f>
        <v>0.01</v>
      </c>
      <c r="E89" s="4">
        <f>IF(ISNUMBER(D89),C89*D89,"")</f>
        <v>1</v>
      </c>
      <c r="F89" s="10">
        <f>C89/INDEX(Recipes!$C:$C,MATCH(A89,Recipes!$A:$A,0))</f>
        <v>1</v>
      </c>
    </row>
    <row r="90" spans="1:6" x14ac:dyDescent="0.25">
      <c r="A90" s="2" t="s">
        <v>239</v>
      </c>
      <c r="B90" s="2" t="s">
        <v>60</v>
      </c>
      <c r="C90" s="6">
        <v>100</v>
      </c>
      <c r="D90" s="8">
        <f>IFERROR(INDEX(Items!$E$2:$E$138,MATCH(B90,Items!$A$2:$A$138,0)),"")</f>
        <v>0.5</v>
      </c>
      <c r="E90" s="4">
        <f>IF(ISNUMBER(D90),C90*D90,"")</f>
        <v>50</v>
      </c>
      <c r="F90" s="10">
        <f>C90/INDEX(Recipes!$C:$C,MATCH(A90,Recipes!$A:$A,0))</f>
        <v>1</v>
      </c>
    </row>
    <row r="91" spans="1:6" x14ac:dyDescent="0.25">
      <c r="A91" s="2" t="s">
        <v>239</v>
      </c>
      <c r="B91" s="2" t="s">
        <v>93</v>
      </c>
      <c r="C91" s="6">
        <v>250</v>
      </c>
      <c r="D91" s="8">
        <f>IFERROR(INDEX(Items!$E$2:$E$138,MATCH(B91,Items!$A$2:$A$138,0)),"")</f>
        <v>0.6</v>
      </c>
      <c r="E91" s="4">
        <f>IF(ISNUMBER(D91),C91*D91,"")</f>
        <v>150</v>
      </c>
      <c r="F91" s="10">
        <f>C91/INDEX(Recipes!$C:$C,MATCH(A91,Recipes!$A:$A,0))</f>
        <v>2.5</v>
      </c>
    </row>
    <row r="92" spans="1:6" x14ac:dyDescent="0.25">
      <c r="A92" s="2" t="s">
        <v>241</v>
      </c>
      <c r="B92" s="2" t="s">
        <v>138</v>
      </c>
      <c r="C92" s="6">
        <v>150</v>
      </c>
      <c r="D92" s="8">
        <f>IFERROR(INDEX(Items!$E$2:$E$138,MATCH(B92,Items!$A$2:$A$138,0)),"")</f>
        <v>0.01</v>
      </c>
      <c r="E92" s="4">
        <f>IF(ISNUMBER(D92),C92*D92,"")</f>
        <v>1.5</v>
      </c>
      <c r="F92" s="10">
        <f>C92/INDEX(Recipes!$C:$C,MATCH(A92,Recipes!$A:$A,0))</f>
        <v>1</v>
      </c>
    </row>
    <row r="93" spans="1:6" x14ac:dyDescent="0.25">
      <c r="A93" s="2" t="s">
        <v>241</v>
      </c>
      <c r="B93" s="2" t="s">
        <v>69</v>
      </c>
      <c r="C93" s="6">
        <v>150</v>
      </c>
      <c r="D93" s="8">
        <f>IFERROR(INDEX(Items!$E$2:$E$138,MATCH(B93,Items!$A$2:$A$138,0)),"")</f>
        <v>2.5</v>
      </c>
      <c r="E93" s="4">
        <f>IF(ISNUMBER(D93),C93*D93,"")</f>
        <v>375</v>
      </c>
      <c r="F93" s="10">
        <f>C93/INDEX(Recipes!$C:$C,MATCH(A93,Recipes!$A:$A,0))</f>
        <v>1</v>
      </c>
    </row>
    <row r="94" spans="1:6" x14ac:dyDescent="0.25">
      <c r="A94" s="2" t="s">
        <v>244</v>
      </c>
      <c r="B94" s="2" t="s">
        <v>97</v>
      </c>
      <c r="C94" s="6">
        <v>200</v>
      </c>
      <c r="D94" s="8">
        <f>IFERROR(INDEX(Items!$E$2:$E$138,MATCH(B94,Items!$A$2:$A$138,0)),"")</f>
        <v>0.34</v>
      </c>
      <c r="E94" s="4">
        <f>IF(ISNUMBER(D94),C94*D94,"")</f>
        <v>68</v>
      </c>
      <c r="F94" s="10">
        <f>C94/INDEX(Recipes!$C:$C,MATCH(A94,Recipes!$A:$A,0))</f>
        <v>1</v>
      </c>
    </row>
    <row r="95" spans="1:6" x14ac:dyDescent="0.25">
      <c r="A95" s="2" t="s">
        <v>244</v>
      </c>
      <c r="B95" s="2" t="s">
        <v>52</v>
      </c>
      <c r="C95" s="6">
        <v>200</v>
      </c>
      <c r="D95" s="8">
        <f>IFERROR(INDEX(Items!$E$2:$E$138,MATCH(B95,Items!$A$2:$A$138,0)),"")</f>
        <v>0.55</v>
      </c>
      <c r="E95" s="4">
        <f>IF(ISNUMBER(D95),C95*D95,"")</f>
        <v>110.00000000000001</v>
      </c>
      <c r="F95" s="10">
        <f>C95/INDEX(Recipes!$C:$C,MATCH(A95,Recipes!$A:$A,0))</f>
        <v>1</v>
      </c>
    </row>
    <row r="96" spans="1:6" x14ac:dyDescent="0.25">
      <c r="A96" s="2" t="s">
        <v>244</v>
      </c>
      <c r="B96" s="2" t="s">
        <v>148</v>
      </c>
      <c r="C96" s="6">
        <v>50</v>
      </c>
      <c r="D96" s="8">
        <f>IFERROR(INDEX(Items!$E$2:$E$138,MATCH(B96,Items!$A$2:$A$138,0)),"")</f>
        <v>0.29</v>
      </c>
      <c r="E96" s="4">
        <f>IF(ISNUMBER(D96),C96*D96,"")</f>
        <v>14.499999999999998</v>
      </c>
      <c r="F96" s="10">
        <f>C96/INDEX(Recipes!$C:$C,MATCH(A96,Recipes!$A:$A,0))</f>
        <v>0.25</v>
      </c>
    </row>
    <row r="97" spans="1:6" x14ac:dyDescent="0.25">
      <c r="A97" s="2" t="s">
        <v>246</v>
      </c>
      <c r="B97" s="2" t="s">
        <v>121</v>
      </c>
      <c r="C97" s="6">
        <v>200</v>
      </c>
      <c r="D97" s="8">
        <f>IFERROR(INDEX(Items!$E$2:$E$138,MATCH(B97,Items!$A$2:$A$138,0)),"")</f>
        <v>0.05</v>
      </c>
      <c r="E97" s="4">
        <f>IF(ISNUMBER(D97),C97*D97,"")</f>
        <v>10</v>
      </c>
      <c r="F97" s="10">
        <f>C97/INDEX(Recipes!$C:$C,MATCH(A97,Recipes!$A:$A,0))</f>
        <v>1</v>
      </c>
    </row>
    <row r="98" spans="1:6" x14ac:dyDescent="0.25">
      <c r="A98" s="2" t="s">
        <v>246</v>
      </c>
      <c r="B98" s="2" t="s">
        <v>85</v>
      </c>
      <c r="C98" s="6">
        <v>200</v>
      </c>
      <c r="D98" s="8">
        <f>IFERROR(INDEX(Items!$E$2:$E$138,MATCH(B98,Items!$A$2:$A$138,0)),"")</f>
        <v>0.05</v>
      </c>
      <c r="E98" s="4">
        <f>IF(ISNUMBER(D98),C98*D98,"")</f>
        <v>10</v>
      </c>
      <c r="F98" s="10">
        <f>C98/INDEX(Recipes!$C:$C,MATCH(A98,Recipes!$A:$A,0))</f>
        <v>1</v>
      </c>
    </row>
    <row r="99" spans="1:6" x14ac:dyDescent="0.25">
      <c r="A99" s="2" t="s">
        <v>249</v>
      </c>
      <c r="B99" s="2" t="s">
        <v>130</v>
      </c>
      <c r="C99" s="6">
        <v>60</v>
      </c>
      <c r="D99" s="8">
        <f>IFERROR(INDEX(Items!$E$2:$E$138,MATCH(B99,Items!$A$2:$A$138,0)),"")</f>
        <v>40</v>
      </c>
      <c r="E99" s="4">
        <f>IF(ISNUMBER(D99),C99*D99,"")</f>
        <v>2400</v>
      </c>
      <c r="F99" s="10">
        <f>C99/INDEX(Recipes!$C:$C,MATCH(A99,Recipes!$A:$A,0))</f>
        <v>1</v>
      </c>
    </row>
    <row r="100" spans="1:6" x14ac:dyDescent="0.25">
      <c r="A100" s="2" t="s">
        <v>249</v>
      </c>
      <c r="B100" s="2" t="s">
        <v>79</v>
      </c>
      <c r="C100" s="6">
        <v>60</v>
      </c>
      <c r="D100" s="8">
        <f>IFERROR(INDEX(Items!$E$2:$E$138,MATCH(B100,Items!$A$2:$A$138,0)),"")</f>
        <v>0.6</v>
      </c>
      <c r="E100" s="4">
        <f>IF(ISNUMBER(D100),C100*D100,"")</f>
        <v>36</v>
      </c>
      <c r="F100" s="10">
        <f>C100/INDEX(Recipes!$C:$C,MATCH(A100,Recipes!$A:$A,0))</f>
        <v>1</v>
      </c>
    </row>
    <row r="101" spans="1:6" x14ac:dyDescent="0.25">
      <c r="A101" s="2" t="s">
        <v>252</v>
      </c>
      <c r="B101" s="2" t="s">
        <v>132</v>
      </c>
      <c r="C101" s="6">
        <v>30</v>
      </c>
      <c r="D101" s="8">
        <f>IFERROR(INDEX(Items!$E$2:$E$138,MATCH(B101,Items!$A$2:$A$138,0)),"")</f>
        <v>450</v>
      </c>
      <c r="E101" s="4">
        <f>IF(ISNUMBER(D101),C101*D101,"")</f>
        <v>13500</v>
      </c>
      <c r="F101" s="10">
        <f>C101/INDEX(Recipes!$C:$C,MATCH(A101,Recipes!$A:$A,0))</f>
        <v>1</v>
      </c>
    </row>
    <row r="102" spans="1:6" x14ac:dyDescent="0.25">
      <c r="A102" s="2" t="s">
        <v>252</v>
      </c>
      <c r="B102" s="2" t="s">
        <v>79</v>
      </c>
      <c r="C102" s="6">
        <v>30</v>
      </c>
      <c r="D102" s="8">
        <f>IFERROR(INDEX(Items!$E$2:$E$138,MATCH(B102,Items!$A$2:$A$138,0)),"")</f>
        <v>0.6</v>
      </c>
      <c r="E102" s="4">
        <f>IF(ISNUMBER(D102),C102*D102,"")</f>
        <v>18</v>
      </c>
      <c r="F102" s="10">
        <f>C102/INDEX(Recipes!$C:$C,MATCH(A102,Recipes!$A:$A,0))</f>
        <v>1</v>
      </c>
    </row>
    <row r="103" spans="1:6" x14ac:dyDescent="0.25">
      <c r="A103" s="2" t="s">
        <v>254</v>
      </c>
      <c r="B103" s="2" t="s">
        <v>89</v>
      </c>
      <c r="C103" s="6">
        <v>2</v>
      </c>
      <c r="D103" s="8">
        <f>IFERROR(INDEX(Items!$E$2:$E$138,MATCH(B103,Items!$A$2:$A$138,0)),"")</f>
        <v>6.25</v>
      </c>
      <c r="E103" s="4">
        <f>IF(ISNUMBER(D103),C103*D103,"")</f>
        <v>12.5</v>
      </c>
      <c r="F103" s="10">
        <f>C103/INDEX(Recipes!$C:$C,MATCH(A103,Recipes!$A:$A,0))</f>
        <v>0.02</v>
      </c>
    </row>
    <row r="104" spans="1:6" x14ac:dyDescent="0.25">
      <c r="A104" s="2" t="s">
        <v>254</v>
      </c>
      <c r="B104" s="2" t="s">
        <v>56</v>
      </c>
      <c r="C104" s="6">
        <v>100</v>
      </c>
      <c r="D104" s="8">
        <f>IFERROR(INDEX(Items!$E$2:$E$138,MATCH(B104,Items!$A$2:$A$138,0)),"")</f>
        <v>12</v>
      </c>
      <c r="E104" s="4">
        <f>IF(ISNUMBER(D104),C104*D104,"")</f>
        <v>1200</v>
      </c>
      <c r="F104" s="10">
        <f>C104/INDEX(Recipes!$C:$C,MATCH(A104,Recipes!$A:$A,0))</f>
        <v>1</v>
      </c>
    </row>
    <row r="105" spans="1:6" x14ac:dyDescent="0.25">
      <c r="A105" s="2" t="s">
        <v>257</v>
      </c>
      <c r="B105" s="2" t="s">
        <v>138</v>
      </c>
      <c r="C105" s="6">
        <v>50</v>
      </c>
      <c r="D105" s="8">
        <f>IFERROR(INDEX(Items!$E$2:$E$138,MATCH(B105,Items!$A$2:$A$138,0)),"")</f>
        <v>0.01</v>
      </c>
      <c r="E105" s="4">
        <f>IF(ISNUMBER(D105),C105*D105,"")</f>
        <v>0.5</v>
      </c>
      <c r="F105" s="10">
        <f>C105/INDEX(Recipes!$C:$C,MATCH(A105,Recipes!$A:$A,0))</f>
        <v>1</v>
      </c>
    </row>
    <row r="106" spans="1:6" x14ac:dyDescent="0.25">
      <c r="A106" s="2" t="s">
        <v>257</v>
      </c>
      <c r="B106" s="2" t="s">
        <v>21</v>
      </c>
      <c r="C106" s="6">
        <v>50</v>
      </c>
      <c r="D106" s="8">
        <f>IFERROR(INDEX(Items!$E$2:$E$138,MATCH(B106,Items!$A$2:$A$138,0)),"")</f>
        <v>0.24</v>
      </c>
      <c r="E106" s="4">
        <f>IF(ISNUMBER(D106),C106*D106,"")</f>
        <v>12</v>
      </c>
      <c r="F106" s="10">
        <f>C106/INDEX(Recipes!$C:$C,MATCH(A106,Recipes!$A:$A,0))</f>
        <v>1</v>
      </c>
    </row>
    <row r="107" spans="1:6" x14ac:dyDescent="0.25">
      <c r="A107" s="2" t="s">
        <v>257</v>
      </c>
      <c r="B107" s="2" t="s">
        <v>141</v>
      </c>
      <c r="C107" s="6">
        <v>50</v>
      </c>
      <c r="D107" s="8">
        <f>IFERROR(INDEX(Items!$E$2:$E$138,MATCH(B107,Items!$A$2:$A$138,0)),"")</f>
        <v>0.01</v>
      </c>
      <c r="E107" s="4">
        <f>IF(ISNUMBER(D107),C107*D107,"")</f>
        <v>0.5</v>
      </c>
      <c r="F107" s="10">
        <f>C107/INDEX(Recipes!$C:$C,MATCH(A107,Recipes!$A:$A,0))</f>
        <v>1</v>
      </c>
    </row>
    <row r="108" spans="1:6" x14ac:dyDescent="0.25">
      <c r="A108" s="2" t="s">
        <v>257</v>
      </c>
      <c r="B108" s="2" t="s">
        <v>27</v>
      </c>
      <c r="C108" s="6">
        <v>100</v>
      </c>
      <c r="D108" s="8">
        <f>IFERROR(INDEX(Items!$E$2:$E$138,MATCH(B108,Items!$A$2:$A$138,0)),"")</f>
        <v>0.12</v>
      </c>
      <c r="E108" s="4">
        <f>IF(ISNUMBER(D108),C108*D108,"")</f>
        <v>12</v>
      </c>
      <c r="F108" s="10">
        <f>C108/INDEX(Recipes!$C:$C,MATCH(A108,Recipes!$A:$A,0))</f>
        <v>2</v>
      </c>
    </row>
    <row r="109" spans="1:6" x14ac:dyDescent="0.25">
      <c r="A109" s="2" t="s">
        <v>257</v>
      </c>
      <c r="B109" s="2" t="s">
        <v>77</v>
      </c>
      <c r="C109" s="6">
        <v>50</v>
      </c>
      <c r="D109" s="8">
        <f>IFERROR(INDEX(Items!$E$2:$E$138,MATCH(B109,Items!$A$2:$A$138,0)),"")</f>
        <v>0.02</v>
      </c>
      <c r="E109" s="4">
        <f>IF(ISNUMBER(D109),C109*D109,"")</f>
        <v>1</v>
      </c>
      <c r="F109" s="10">
        <f>C109/INDEX(Recipes!$C:$C,MATCH(A109,Recipes!$A:$A,0))</f>
        <v>1</v>
      </c>
    </row>
    <row r="110" spans="1:6" x14ac:dyDescent="0.25">
      <c r="A110" s="2" t="s">
        <v>259</v>
      </c>
      <c r="B110" s="2" t="s">
        <v>138</v>
      </c>
      <c r="C110" s="6">
        <v>50</v>
      </c>
      <c r="D110" s="8">
        <f>IFERROR(INDEX(Items!$E$2:$E$138,MATCH(B110,Items!$A$2:$A$138,0)),"")</f>
        <v>0.01</v>
      </c>
      <c r="E110" s="4">
        <f>IF(ISNUMBER(D110),C110*D110,"")</f>
        <v>0.5</v>
      </c>
      <c r="F110" s="10">
        <f>C110/INDEX(Recipes!$C:$C,MATCH(A110,Recipes!$A:$A,0))</f>
        <v>1</v>
      </c>
    </row>
    <row r="111" spans="1:6" x14ac:dyDescent="0.25">
      <c r="A111" s="2" t="s">
        <v>259</v>
      </c>
      <c r="B111" s="2" t="s">
        <v>21</v>
      </c>
      <c r="C111" s="6">
        <v>50</v>
      </c>
      <c r="D111" s="8">
        <f>IFERROR(INDEX(Items!$E$2:$E$138,MATCH(B111,Items!$A$2:$A$138,0)),"")</f>
        <v>0.24</v>
      </c>
      <c r="E111" s="4">
        <f>IF(ISNUMBER(D111),C111*D111,"")</f>
        <v>12</v>
      </c>
      <c r="F111" s="10">
        <f>C111/INDEX(Recipes!$C:$C,MATCH(A111,Recipes!$A:$A,0))</f>
        <v>1</v>
      </c>
    </row>
    <row r="112" spans="1:6" x14ac:dyDescent="0.25">
      <c r="A112" s="2" t="s">
        <v>259</v>
      </c>
      <c r="B112" s="2" t="s">
        <v>141</v>
      </c>
      <c r="C112" s="6">
        <v>50</v>
      </c>
      <c r="D112" s="8">
        <f>IFERROR(INDEX(Items!$E$2:$E$138,MATCH(B112,Items!$A$2:$A$138,0)),"")</f>
        <v>0.01</v>
      </c>
      <c r="E112" s="4">
        <f>IF(ISNUMBER(D112),C112*D112,"")</f>
        <v>0.5</v>
      </c>
      <c r="F112" s="10">
        <f>C112/INDEX(Recipes!$C:$C,MATCH(A112,Recipes!$A:$A,0))</f>
        <v>1</v>
      </c>
    </row>
    <row r="113" spans="1:6" x14ac:dyDescent="0.25">
      <c r="A113" s="2" t="s">
        <v>259</v>
      </c>
      <c r="B113" s="2" t="s">
        <v>75</v>
      </c>
      <c r="C113" s="6">
        <v>100</v>
      </c>
      <c r="D113" s="8">
        <f>IFERROR(INDEX(Items!$E$2:$E$138,MATCH(B113,Items!$A$2:$A$138,0)),"")</f>
        <v>0.15</v>
      </c>
      <c r="E113" s="4">
        <f>IF(ISNUMBER(D113),C113*D113,"")</f>
        <v>15</v>
      </c>
      <c r="F113" s="10">
        <f>C113/INDEX(Recipes!$C:$C,MATCH(A113,Recipes!$A:$A,0))</f>
        <v>2</v>
      </c>
    </row>
    <row r="114" spans="1:6" x14ac:dyDescent="0.25">
      <c r="A114" s="2" t="s">
        <v>259</v>
      </c>
      <c r="B114" s="2" t="s">
        <v>134</v>
      </c>
      <c r="C114" s="6">
        <v>50</v>
      </c>
      <c r="D114" s="8">
        <f>IFERROR(INDEX(Items!$E$2:$E$138,MATCH(B114,Items!$A$2:$A$138,0)),"")</f>
        <v>0.1</v>
      </c>
      <c r="E114" s="4">
        <f>IF(ISNUMBER(D114),C114*D114,"")</f>
        <v>5</v>
      </c>
      <c r="F114" s="10">
        <f>C114/INDEX(Recipes!$C:$C,MATCH(A114,Recipes!$A:$A,0))</f>
        <v>1</v>
      </c>
    </row>
    <row r="115" spans="1:6" x14ac:dyDescent="0.25">
      <c r="A115" s="2" t="s">
        <v>262</v>
      </c>
      <c r="B115" s="2" t="s">
        <v>89</v>
      </c>
      <c r="C115" s="6">
        <v>3</v>
      </c>
      <c r="D115" s="8">
        <f>IFERROR(INDEX(Items!$E$2:$E$138,MATCH(B115,Items!$A$2:$A$138,0)),"")</f>
        <v>6.25</v>
      </c>
      <c r="E115" s="4">
        <f>IF(ISNUMBER(D115),C115*D115,"")</f>
        <v>18.75</v>
      </c>
      <c r="F115" s="10">
        <f>C115/INDEX(Recipes!$C:$C,MATCH(A115,Recipes!$A:$A,0))</f>
        <v>0.03</v>
      </c>
    </row>
    <row r="116" spans="1:6" x14ac:dyDescent="0.25">
      <c r="A116" s="2" t="s">
        <v>262</v>
      </c>
      <c r="B116" s="2" t="s">
        <v>54</v>
      </c>
      <c r="C116" s="6">
        <v>50</v>
      </c>
      <c r="D116" s="8">
        <f>IFERROR(INDEX(Items!$E$2:$E$138,MATCH(B116,Items!$A$2:$A$138,0)),"")</f>
        <v>6</v>
      </c>
      <c r="E116" s="4">
        <f>IF(ISNUMBER(D116),C116*D116,"")</f>
        <v>300</v>
      </c>
      <c r="F116" s="10">
        <f>C116/INDEX(Recipes!$C:$C,MATCH(A116,Recipes!$A:$A,0))</f>
        <v>0.5</v>
      </c>
    </row>
    <row r="117" spans="1:6" x14ac:dyDescent="0.25">
      <c r="A117" s="2" t="s">
        <v>264</v>
      </c>
      <c r="B117" s="2" t="s">
        <v>99</v>
      </c>
      <c r="C117" s="6">
        <v>60</v>
      </c>
      <c r="D117" s="8">
        <f>IFERROR(INDEX(Items!$E$2:$E$138,MATCH(B117,Items!$A$2:$A$138,0)),"")</f>
        <v>4</v>
      </c>
      <c r="E117" s="4">
        <f>IF(ISNUMBER(D117),C117*D117,"")</f>
        <v>240</v>
      </c>
      <c r="F117" s="10">
        <f>C117/INDEX(Recipes!$C:$C,MATCH(A117,Recipes!$A:$A,0))</f>
        <v>1</v>
      </c>
    </row>
    <row r="118" spans="1:6" x14ac:dyDescent="0.25">
      <c r="A118" s="2" t="s">
        <v>264</v>
      </c>
      <c r="B118" s="2" t="s">
        <v>128</v>
      </c>
      <c r="C118" s="6">
        <v>60</v>
      </c>
      <c r="D118" s="8">
        <f>IFERROR(INDEX(Items!$E$2:$E$138,MATCH(B118,Items!$A$2:$A$138,0)),"")</f>
        <v>8</v>
      </c>
      <c r="E118" s="4">
        <f>IF(ISNUMBER(D118),C118*D118,"")</f>
        <v>480</v>
      </c>
      <c r="F118" s="10">
        <f>C118/INDEX(Recipes!$C:$C,MATCH(A118,Recipes!$A:$A,0))</f>
        <v>1</v>
      </c>
    </row>
    <row r="119" spans="1:6" x14ac:dyDescent="0.25">
      <c r="A119" s="2" t="s">
        <v>264</v>
      </c>
      <c r="B119" s="2" t="s">
        <v>33</v>
      </c>
      <c r="C119" s="6">
        <v>60</v>
      </c>
      <c r="D119" s="8">
        <f>IFERROR(INDEX(Items!$E$2:$E$138,MATCH(B119,Items!$A$2:$A$138,0)),"")</f>
        <v>6</v>
      </c>
      <c r="E119" s="4">
        <f>IF(ISNUMBER(D119),C119*D119,"")</f>
        <v>360</v>
      </c>
      <c r="F119" s="10">
        <f>C119/INDEX(Recipes!$C:$C,MATCH(A119,Recipes!$A:$A,0))</f>
        <v>1</v>
      </c>
    </row>
    <row r="120" spans="1:6" x14ac:dyDescent="0.25">
      <c r="A120" s="2" t="s">
        <v>264</v>
      </c>
      <c r="B120" s="2" t="s">
        <v>73</v>
      </c>
      <c r="C120" s="6">
        <v>60</v>
      </c>
      <c r="D120" s="8">
        <f>IFERROR(INDEX(Items!$E$2:$E$138,MATCH(B120,Items!$A$2:$A$138,0)),"")</f>
        <v>10</v>
      </c>
      <c r="E120" s="4">
        <f>IF(ISNUMBER(D120),C120*D120,"")</f>
        <v>600</v>
      </c>
      <c r="F120" s="10">
        <f>C120/INDEX(Recipes!$C:$C,MATCH(A120,Recipes!$A:$A,0))</f>
        <v>1</v>
      </c>
    </row>
    <row r="121" spans="1:6" x14ac:dyDescent="0.25">
      <c r="A121" s="2" t="s">
        <v>264</v>
      </c>
      <c r="B121" s="2" t="s">
        <v>50</v>
      </c>
      <c r="C121" s="6">
        <v>10</v>
      </c>
      <c r="D121" s="8">
        <f>IFERROR(INDEX(Items!$E$2:$E$138,MATCH(B121,Items!$A$2:$A$138,0)),"")</f>
        <v>8</v>
      </c>
      <c r="E121" s="4">
        <f>IF(ISNUMBER(D121),C121*D121,"")</f>
        <v>80</v>
      </c>
      <c r="F121" s="10">
        <f>C121/INDEX(Recipes!$C:$C,MATCH(A121,Recipes!$A:$A,0))</f>
        <v>0.16666666666666666</v>
      </c>
    </row>
    <row r="122" spans="1:6" x14ac:dyDescent="0.25">
      <c r="A122" s="2" t="s">
        <v>264</v>
      </c>
      <c r="B122" s="2" t="s">
        <v>119</v>
      </c>
      <c r="C122" s="6">
        <v>120</v>
      </c>
      <c r="D122" s="8">
        <f>IFERROR(INDEX(Items!$E$2:$E$138,MATCH(B122,Items!$A$2:$A$138,0)),"")</f>
        <v>6</v>
      </c>
      <c r="E122" s="4">
        <f>IF(ISNUMBER(D122),C122*D122,"")</f>
        <v>720</v>
      </c>
      <c r="F122" s="10">
        <f>C122/INDEX(Recipes!$C:$C,MATCH(A122,Recipes!$A:$A,0))</f>
        <v>2</v>
      </c>
    </row>
    <row r="123" spans="1:6" x14ac:dyDescent="0.25">
      <c r="A123" s="2" t="s">
        <v>264</v>
      </c>
      <c r="B123" s="2" t="s">
        <v>83</v>
      </c>
      <c r="C123" s="6">
        <v>60</v>
      </c>
      <c r="D123" s="8">
        <f>IFERROR(INDEX(Items!$E$2:$E$138,MATCH(B123,Items!$A$2:$A$138,0)),"")</f>
        <v>8</v>
      </c>
      <c r="E123" s="4">
        <f>IF(ISNUMBER(D123),C123*D123,"")</f>
        <v>480</v>
      </c>
      <c r="F123" s="10">
        <f>C123/INDEX(Recipes!$C:$C,MATCH(A123,Recipes!$A:$A,0))</f>
        <v>1</v>
      </c>
    </row>
    <row r="124" spans="1:6" x14ac:dyDescent="0.25">
      <c r="A124" s="2" t="s">
        <v>264</v>
      </c>
      <c r="B124" s="2" t="s">
        <v>93</v>
      </c>
      <c r="C124" s="6">
        <v>10</v>
      </c>
      <c r="D124" s="8">
        <f>IFERROR(INDEX(Items!$E$2:$E$138,MATCH(B124,Items!$A$2:$A$138,0)),"")</f>
        <v>0.6</v>
      </c>
      <c r="E124" s="4">
        <f>IF(ISNUMBER(D124),C124*D124,"")</f>
        <v>6</v>
      </c>
      <c r="F124" s="10">
        <f>C124/INDEX(Recipes!$C:$C,MATCH(A124,Recipes!$A:$A,0))</f>
        <v>0.16666666666666666</v>
      </c>
    </row>
    <row r="125" spans="1:6" x14ac:dyDescent="0.25">
      <c r="A125" s="2" t="s">
        <v>267</v>
      </c>
      <c r="B125" s="2" t="s">
        <v>89</v>
      </c>
      <c r="C125" s="6">
        <v>3</v>
      </c>
      <c r="D125" s="8">
        <f>IFERROR(INDEX(Items!$E$2:$E$138,MATCH(B125,Items!$A$2:$A$138,0)),"")</f>
        <v>6.25</v>
      </c>
      <c r="E125" s="4">
        <f>IF(ISNUMBER(D125),C125*D125,"")</f>
        <v>18.75</v>
      </c>
      <c r="F125" s="10">
        <f>C125/INDEX(Recipes!$C:$C,MATCH(A125,Recipes!$A:$A,0))</f>
        <v>0.03</v>
      </c>
    </row>
    <row r="126" spans="1:6" x14ac:dyDescent="0.25">
      <c r="A126" s="2" t="s">
        <v>267</v>
      </c>
      <c r="B126" s="2" t="s">
        <v>54</v>
      </c>
      <c r="C126" s="6">
        <v>50</v>
      </c>
      <c r="D126" s="8">
        <f>IFERROR(INDEX(Items!$E$2:$E$138,MATCH(B126,Items!$A$2:$A$138,0)),"")</f>
        <v>6</v>
      </c>
      <c r="E126" s="4">
        <f>IF(ISNUMBER(D126),C126*D126,"")</f>
        <v>300</v>
      </c>
      <c r="F126" s="10">
        <f>C126/INDEX(Recipes!$C:$C,MATCH(A126,Recipes!$A:$A,0))</f>
        <v>0.5</v>
      </c>
    </row>
    <row r="127" spans="1:6" x14ac:dyDescent="0.25">
      <c r="A127" s="2" t="s">
        <v>269</v>
      </c>
      <c r="B127" s="2" t="s">
        <v>44</v>
      </c>
      <c r="C127" s="6">
        <v>20</v>
      </c>
      <c r="D127" s="8">
        <f>IFERROR(INDEX(Items!$E$2:$E$138,MATCH(B127,Items!$A$2:$A$138,0)),"")</f>
        <v>0.5</v>
      </c>
      <c r="E127" s="4">
        <f>IF(ISNUMBER(D127),C127*D127,"")</f>
        <v>10</v>
      </c>
      <c r="F127" s="10">
        <f>C127/INDEX(Recipes!$C:$C,MATCH(A127,Recipes!$A:$A,0))</f>
        <v>0.2</v>
      </c>
    </row>
    <row r="128" spans="1:6" x14ac:dyDescent="0.25">
      <c r="A128" s="2" t="s">
        <v>269</v>
      </c>
      <c r="B128" s="2" t="s">
        <v>126</v>
      </c>
      <c r="C128" s="6">
        <v>100</v>
      </c>
      <c r="D128" s="8">
        <f>IFERROR(INDEX(Items!$E$2:$E$138,MATCH(B128,Items!$A$2:$A$138,0)),"")</f>
        <v>0.5</v>
      </c>
      <c r="E128" s="4">
        <f>IF(ISNUMBER(D128),C128*D128,"")</f>
        <v>50</v>
      </c>
      <c r="F128" s="10">
        <f>C128/INDEX(Recipes!$C:$C,MATCH(A128,Recipes!$A:$A,0))</f>
        <v>1</v>
      </c>
    </row>
    <row r="129" spans="1:6" x14ac:dyDescent="0.25">
      <c r="A129" s="2" t="s">
        <v>341</v>
      </c>
      <c r="B129" s="2" t="s">
        <v>89</v>
      </c>
      <c r="C129" s="6">
        <v>2</v>
      </c>
      <c r="D129" s="8">
        <f>IFERROR(INDEX(Items!$E$2:$E$138,MATCH(B129,Items!$A$2:$A$138,0)),"")</f>
        <v>6.25</v>
      </c>
      <c r="E129" s="4">
        <f>IF(ISNUMBER(D129),C129*D129,"")</f>
        <v>12.5</v>
      </c>
      <c r="F129" s="10">
        <f>C129/INDEX(Recipes!$C:$C,MATCH(A129,Recipes!$A:$A,0))</f>
        <v>0.004</v>
      </c>
    </row>
    <row r="130" spans="1:6" x14ac:dyDescent="0.25">
      <c r="A130" s="2" t="s">
        <v>271</v>
      </c>
      <c r="B130" s="2" t="s">
        <v>89</v>
      </c>
      <c r="C130" s="6">
        <v>1</v>
      </c>
      <c r="D130" s="8">
        <f>IFERROR(INDEX(Items!$E$2:$E$138,MATCH(B130,Items!$A$2:$A$138,0)),"")</f>
        <v>6.25</v>
      </c>
      <c r="E130" s="4">
        <f>IF(ISNUMBER(D130),C130*D130,"")</f>
        <v>6.25</v>
      </c>
      <c r="F130" s="10">
        <f>C130/INDEX(Recipes!$C:$C,MATCH(A130,Recipes!$A:$A,0))</f>
        <v>0.01</v>
      </c>
    </row>
    <row r="131" spans="1:6" x14ac:dyDescent="0.25">
      <c r="A131" s="2" t="s">
        <v>271</v>
      </c>
      <c r="B131" s="2" t="s">
        <v>54</v>
      </c>
      <c r="C131" s="6">
        <v>20</v>
      </c>
      <c r="D131" s="8">
        <f>IFERROR(INDEX(Items!$E$2:$E$138,MATCH(B131,Items!$A$2:$A$138,0)),"")</f>
        <v>6</v>
      </c>
      <c r="E131" s="4">
        <f>IF(ISNUMBER(D131),C131*D131,"")</f>
        <v>120</v>
      </c>
      <c r="F131" s="10">
        <f>C131/INDEX(Recipes!$C:$C,MATCH(A131,Recipes!$A:$A,0))</f>
        <v>0.2</v>
      </c>
    </row>
    <row r="132" spans="1:6" x14ac:dyDescent="0.25">
      <c r="A132" s="2" t="s">
        <v>273</v>
      </c>
      <c r="B132" s="2" t="s">
        <v>52</v>
      </c>
      <c r="C132" s="6">
        <v>200</v>
      </c>
      <c r="D132" s="8">
        <f>IFERROR(INDEX(Items!$E$2:$E$138,MATCH(B132,Items!$A$2:$A$138,0)),"")</f>
        <v>0.55</v>
      </c>
      <c r="E132" s="4">
        <f>IF(ISNUMBER(D132),C132*D132,"")</f>
        <v>110.00000000000001</v>
      </c>
      <c r="F132" s="10">
        <f>C132/INDEX(Recipes!$C:$C,MATCH(A132,Recipes!$A:$A,0))</f>
        <v>1</v>
      </c>
    </row>
    <row r="133" spans="1:6" x14ac:dyDescent="0.25">
      <c r="A133" s="2" t="s">
        <v>273</v>
      </c>
      <c r="B133" s="2" t="s">
        <v>148</v>
      </c>
      <c r="C133" s="6">
        <v>100</v>
      </c>
      <c r="D133" s="8">
        <f>IFERROR(INDEX(Items!$E$2:$E$138,MATCH(B133,Items!$A$2:$A$138,0)),"")</f>
        <v>0.29</v>
      </c>
      <c r="E133" s="4">
        <f>IF(ISNUMBER(D133),C133*D133,"")</f>
        <v>28.999999999999996</v>
      </c>
      <c r="F133" s="10">
        <f>C133/INDEX(Recipes!$C:$C,MATCH(A133,Recipes!$A:$A,0))</f>
        <v>0.5</v>
      </c>
    </row>
    <row r="134" spans="1:6" x14ac:dyDescent="0.25">
      <c r="A134" s="2" t="s">
        <v>273</v>
      </c>
      <c r="B134" s="2" t="s">
        <v>37</v>
      </c>
      <c r="C134" s="6">
        <v>200</v>
      </c>
      <c r="D134" s="8">
        <f>IFERROR(INDEX(Items!$E$2:$E$138,MATCH(B134,Items!$A$2:$A$138,0)),"")</f>
        <v>0.32</v>
      </c>
      <c r="E134" s="4">
        <f>IF(ISNUMBER(D134),C134*D134,"")</f>
        <v>64</v>
      </c>
      <c r="F134" s="10">
        <f>C134/INDEX(Recipes!$C:$C,MATCH(A134,Recipes!$A:$A,0))</f>
        <v>1</v>
      </c>
    </row>
    <row r="135" spans="1:6" x14ac:dyDescent="0.25">
      <c r="A135" s="2" t="s">
        <v>275</v>
      </c>
      <c r="B135" s="2" t="s">
        <v>95</v>
      </c>
      <c r="C135" s="6">
        <v>200</v>
      </c>
      <c r="D135" s="8">
        <f>IFERROR(INDEX(Items!$E$2:$E$138,MATCH(B135,Items!$A$2:$A$138,0)),"")</f>
        <v>0.01</v>
      </c>
      <c r="E135" s="4">
        <f>IF(ISNUMBER(D135),C135*D135,"")</f>
        <v>2</v>
      </c>
      <c r="F135" s="10">
        <f>C135/INDEX(Recipes!$C:$C,MATCH(A135,Recipes!$A:$A,0))</f>
        <v>1</v>
      </c>
    </row>
    <row r="136" spans="1:6" x14ac:dyDescent="0.25">
      <c r="A136" s="2" t="s">
        <v>275</v>
      </c>
      <c r="B136" s="2" t="s">
        <v>29</v>
      </c>
      <c r="C136" s="6">
        <v>10</v>
      </c>
      <c r="D136" s="8">
        <f>IFERROR(INDEX(Items!$E$2:$E$138,MATCH(B136,Items!$A$2:$A$138,0)),"")</f>
        <v>0.5</v>
      </c>
      <c r="E136" s="4">
        <f>IF(ISNUMBER(D136),C136*D136,"")</f>
        <v>5</v>
      </c>
      <c r="F136" s="10">
        <f>C136/INDEX(Recipes!$C:$C,MATCH(A136,Recipes!$A:$A,0))</f>
        <v>0.05</v>
      </c>
    </row>
    <row r="137" spans="1:6" x14ac:dyDescent="0.25">
      <c r="A137" s="2" t="s">
        <v>278</v>
      </c>
      <c r="B137" s="2" t="s">
        <v>99</v>
      </c>
      <c r="C137" s="6">
        <v>120</v>
      </c>
      <c r="D137" s="8">
        <f>IFERROR(INDEX(Items!$E$2:$E$138,MATCH(B137,Items!$A$2:$A$138,0)),"")</f>
        <v>4</v>
      </c>
      <c r="E137" s="4">
        <f>IF(ISNUMBER(D137),C137*D137,"")</f>
        <v>480</v>
      </c>
      <c r="F137" s="10">
        <f>C137/INDEX(Recipes!$C:$C,MATCH(A137,Recipes!$A:$A,0))</f>
        <v>2</v>
      </c>
    </row>
    <row r="138" spans="1:6" x14ac:dyDescent="0.25">
      <c r="A138" s="2" t="s">
        <v>278</v>
      </c>
      <c r="B138" s="2" t="s">
        <v>128</v>
      </c>
      <c r="C138" s="6">
        <v>120</v>
      </c>
      <c r="D138" s="8">
        <f>IFERROR(INDEX(Items!$E$2:$E$138,MATCH(B138,Items!$A$2:$A$138,0)),"")</f>
        <v>8</v>
      </c>
      <c r="E138" s="4">
        <f>IF(ISNUMBER(D138),C138*D138,"")</f>
        <v>960</v>
      </c>
      <c r="F138" s="10">
        <f>C138/INDEX(Recipes!$C:$C,MATCH(A138,Recipes!$A:$A,0))</f>
        <v>2</v>
      </c>
    </row>
    <row r="139" spans="1:6" x14ac:dyDescent="0.25">
      <c r="A139" s="2" t="s">
        <v>278</v>
      </c>
      <c r="B139" s="2" t="s">
        <v>33</v>
      </c>
      <c r="C139" s="6">
        <v>120</v>
      </c>
      <c r="D139" s="8">
        <f>IFERROR(INDEX(Items!$E$2:$E$138,MATCH(B139,Items!$A$2:$A$138,0)),"")</f>
        <v>6</v>
      </c>
      <c r="E139" s="4">
        <f>IF(ISNUMBER(D139),C139*D139,"")</f>
        <v>720</v>
      </c>
      <c r="F139" s="10">
        <f>C139/INDEX(Recipes!$C:$C,MATCH(A139,Recipes!$A:$A,0))</f>
        <v>2</v>
      </c>
    </row>
    <row r="140" spans="1:6" x14ac:dyDescent="0.25">
      <c r="A140" s="2" t="s">
        <v>278</v>
      </c>
      <c r="B140" s="2" t="s">
        <v>73</v>
      </c>
      <c r="C140" s="6">
        <v>60</v>
      </c>
      <c r="D140" s="8">
        <f>IFERROR(INDEX(Items!$E$2:$E$138,MATCH(B140,Items!$A$2:$A$138,0)),"")</f>
        <v>10</v>
      </c>
      <c r="E140" s="4">
        <f>IF(ISNUMBER(D140),C140*D140,"")</f>
        <v>600</v>
      </c>
      <c r="F140" s="10">
        <f>C140/INDEX(Recipes!$C:$C,MATCH(A140,Recipes!$A:$A,0))</f>
        <v>1</v>
      </c>
    </row>
    <row r="141" spans="1:6" x14ac:dyDescent="0.25">
      <c r="A141" s="2" t="s">
        <v>278</v>
      </c>
      <c r="B141" s="2" t="s">
        <v>50</v>
      </c>
      <c r="C141" s="6">
        <v>20</v>
      </c>
      <c r="D141" s="8">
        <f>IFERROR(INDEX(Items!$E$2:$E$138,MATCH(B141,Items!$A$2:$A$138,0)),"")</f>
        <v>8</v>
      </c>
      <c r="E141" s="4">
        <f>IF(ISNUMBER(D141),C141*D141,"")</f>
        <v>160</v>
      </c>
      <c r="F141" s="10">
        <f>C141/INDEX(Recipes!$C:$C,MATCH(A141,Recipes!$A:$A,0))</f>
        <v>0.3333333333333333</v>
      </c>
    </row>
    <row r="142" spans="1:6" x14ac:dyDescent="0.25">
      <c r="A142" s="2" t="s">
        <v>278</v>
      </c>
      <c r="B142" s="2" t="s">
        <v>119</v>
      </c>
      <c r="C142" s="6">
        <v>120</v>
      </c>
      <c r="D142" s="8">
        <f>IFERROR(INDEX(Items!$E$2:$E$138,MATCH(B142,Items!$A$2:$A$138,0)),"")</f>
        <v>6</v>
      </c>
      <c r="E142" s="4">
        <f>IF(ISNUMBER(D142),C142*D142,"")</f>
        <v>720</v>
      </c>
      <c r="F142" s="10">
        <f>C142/INDEX(Recipes!$C:$C,MATCH(A142,Recipes!$A:$A,0))</f>
        <v>2</v>
      </c>
    </row>
    <row r="143" spans="1:6" x14ac:dyDescent="0.25">
      <c r="A143" s="2" t="s">
        <v>278</v>
      </c>
      <c r="B143" s="2" t="s">
        <v>83</v>
      </c>
      <c r="C143" s="6">
        <v>60</v>
      </c>
      <c r="D143" s="8">
        <f>IFERROR(INDEX(Items!$E$2:$E$138,MATCH(B143,Items!$A$2:$A$138,0)),"")</f>
        <v>8</v>
      </c>
      <c r="E143" s="4">
        <f>IF(ISNUMBER(D143),C143*D143,"")</f>
        <v>480</v>
      </c>
      <c r="F143" s="10">
        <f>C143/INDEX(Recipes!$C:$C,MATCH(A143,Recipes!$A:$A,0))</f>
        <v>1</v>
      </c>
    </row>
    <row r="144" spans="1:6" x14ac:dyDescent="0.25">
      <c r="A144" s="2" t="s">
        <v>278</v>
      </c>
      <c r="B144" s="2" t="s">
        <v>93</v>
      </c>
      <c r="C144" s="6">
        <v>20</v>
      </c>
      <c r="D144" s="8">
        <f>IFERROR(INDEX(Items!$E$2:$E$138,MATCH(B144,Items!$A$2:$A$138,0)),"")</f>
        <v>0.6</v>
      </c>
      <c r="E144" s="4">
        <f>IF(ISNUMBER(D144),C144*D144,"")</f>
        <v>12</v>
      </c>
      <c r="F144" s="10">
        <f>C144/INDEX(Recipes!$C:$C,MATCH(A144,Recipes!$A:$A,0))</f>
        <v>0.3333333333333333</v>
      </c>
    </row>
    <row r="145" spans="1:6" x14ac:dyDescent="0.25">
      <c r="A145" s="2" t="s">
        <v>281</v>
      </c>
      <c r="B145" s="2" t="s">
        <v>136</v>
      </c>
      <c r="C145" s="6">
        <v>100</v>
      </c>
      <c r="D145" s="8">
        <f>IFERROR(INDEX(Items!$E$2:$E$138,MATCH(B145,Items!$A$2:$A$138,0)),"")</f>
        <v>0.1</v>
      </c>
      <c r="E145" s="4">
        <f>IF(ISNUMBER(D145),C145*D145,"")</f>
        <v>10</v>
      </c>
      <c r="F145" s="10">
        <f>C145/INDEX(Recipes!$C:$C,MATCH(A145,Recipes!$A:$A,0))</f>
        <v>0.5</v>
      </c>
    </row>
    <row r="146" spans="1:6" x14ac:dyDescent="0.25">
      <c r="A146" s="2" t="s">
        <v>281</v>
      </c>
      <c r="B146" s="2" t="s">
        <v>143</v>
      </c>
      <c r="C146" s="6">
        <v>200</v>
      </c>
      <c r="D146" s="8">
        <f>IFERROR(INDEX(Items!$E$2:$E$138,MATCH(B146,Items!$A$2:$A$138,0)),"")</f>
        <v>0.28</v>
      </c>
      <c r="E146" s="4">
        <f>IF(ISNUMBER(D146),C146*D146,"")</f>
        <v>56.00000000000001</v>
      </c>
      <c r="F146" s="10">
        <f>C146/INDEX(Recipes!$C:$C,MATCH(A146,Recipes!$A:$A,0))</f>
        <v>1</v>
      </c>
    </row>
    <row r="147" spans="1:6" x14ac:dyDescent="0.25">
      <c r="A147" s="2" t="s">
        <v>281</v>
      </c>
      <c r="B147" s="2" t="s">
        <v>148</v>
      </c>
      <c r="C147" s="6">
        <v>100</v>
      </c>
      <c r="D147" s="8">
        <f>IFERROR(INDEX(Items!$E$2:$E$138,MATCH(B147,Items!$A$2:$A$138,0)),"")</f>
        <v>0.29</v>
      </c>
      <c r="E147" s="4">
        <f>IF(ISNUMBER(D147),C147*D147,"")</f>
        <v>28.999999999999996</v>
      </c>
      <c r="F147" s="10">
        <f>C147/INDEX(Recipes!$C:$C,MATCH(A147,Recipes!$A:$A,0))</f>
        <v>0.5</v>
      </c>
    </row>
    <row r="148" spans="1:6" x14ac:dyDescent="0.25">
      <c r="A148" s="2" t="s">
        <v>281</v>
      </c>
      <c r="B148" s="2" t="s">
        <v>91</v>
      </c>
      <c r="C148" s="6">
        <v>100</v>
      </c>
      <c r="D148" s="8">
        <f>IFERROR(INDEX(Items!$E$2:$E$138,MATCH(B148,Items!$A$2:$A$138,0)),"")</f>
        <v>0.1</v>
      </c>
      <c r="E148" s="4">
        <f>IF(ISNUMBER(D148),C148*D148,"")</f>
        <v>10</v>
      </c>
      <c r="F148" s="10">
        <f>C148/INDEX(Recipes!$C:$C,MATCH(A148,Recipes!$A:$A,0))</f>
        <v>0.5</v>
      </c>
    </row>
    <row r="149" spans="1:6" x14ac:dyDescent="0.25">
      <c r="A149" s="2" t="s">
        <v>281</v>
      </c>
      <c r="B149" s="2" t="s">
        <v>87</v>
      </c>
      <c r="C149" s="6">
        <v>100</v>
      </c>
      <c r="D149" s="8">
        <f>IFERROR(INDEX(Items!$E$2:$E$138,MATCH(B149,Items!$A$2:$A$138,0)),"")</f>
        <v>0.14</v>
      </c>
      <c r="E149" s="4">
        <f>IF(ISNUMBER(D149),C149*D149,"")</f>
        <v>14.000000000000002</v>
      </c>
      <c r="F149" s="10">
        <f>C149/INDEX(Recipes!$C:$C,MATCH(A149,Recipes!$A:$A,0))</f>
        <v>0.5</v>
      </c>
    </row>
    <row r="150" spans="1:6" x14ac:dyDescent="0.25">
      <c r="A150" s="2" t="s">
        <v>284</v>
      </c>
      <c r="B150" s="2" t="s">
        <v>138</v>
      </c>
      <c r="C150" s="6">
        <v>250</v>
      </c>
      <c r="D150" s="8">
        <f>IFERROR(INDEX(Items!$E$2:$E$138,MATCH(B150,Items!$A$2:$A$138,0)),"")</f>
        <v>0.01</v>
      </c>
      <c r="E150" s="4">
        <f>IF(ISNUMBER(D150),C150*D150,"")</f>
        <v>2.5</v>
      </c>
      <c r="F150" s="10">
        <f>C150/INDEX(Recipes!$C:$C,MATCH(A150,Recipes!$A:$A,0))</f>
        <v>1</v>
      </c>
    </row>
    <row r="151" spans="1:6" x14ac:dyDescent="0.25">
      <c r="A151" s="2" t="s">
        <v>284</v>
      </c>
      <c r="B151" s="2" t="s">
        <v>121</v>
      </c>
      <c r="C151" s="6">
        <v>250</v>
      </c>
      <c r="D151" s="8">
        <f>IFERROR(INDEX(Items!$E$2:$E$138,MATCH(B151,Items!$A$2:$A$138,0)),"")</f>
        <v>0.05</v>
      </c>
      <c r="E151" s="4">
        <f>IF(ISNUMBER(D151),C151*D151,"")</f>
        <v>12.5</v>
      </c>
      <c r="F151" s="10">
        <f>C151/INDEX(Recipes!$C:$C,MATCH(A151,Recipes!$A:$A,0))</f>
        <v>1</v>
      </c>
    </row>
    <row r="152" spans="1:6" x14ac:dyDescent="0.25">
      <c r="A152" s="2" t="s">
        <v>284</v>
      </c>
      <c r="B152" s="2" t="s">
        <v>58</v>
      </c>
      <c r="C152" s="6">
        <v>250</v>
      </c>
      <c r="D152" s="8">
        <f>IFERROR(INDEX(Items!$E$2:$E$138,MATCH(B152,Items!$A$2:$A$138,0)),"")</f>
        <v>0.04</v>
      </c>
      <c r="E152" s="4">
        <f>IF(ISNUMBER(D152),C152*D152,"")</f>
        <v>10</v>
      </c>
      <c r="F152" s="10">
        <f>C152/INDEX(Recipes!$C:$C,MATCH(A152,Recipes!$A:$A,0))</f>
        <v>1</v>
      </c>
    </row>
    <row r="153" spans="1:6" x14ac:dyDescent="0.25">
      <c r="A153" s="2" t="s">
        <v>286</v>
      </c>
      <c r="B153" s="2" t="s">
        <v>138</v>
      </c>
      <c r="C153" s="6">
        <v>250</v>
      </c>
      <c r="D153" s="8">
        <f>IFERROR(INDEX(Items!$E$2:$E$138,MATCH(B153,Items!$A$2:$A$138,0)),"")</f>
        <v>0.01</v>
      </c>
      <c r="E153" s="4">
        <f>IF(ISNUMBER(D153),C153*D153,"")</f>
        <v>2.5</v>
      </c>
      <c r="F153" s="10">
        <f>C153/INDEX(Recipes!$C:$C,MATCH(A153,Recipes!$A:$A,0))</f>
        <v>1</v>
      </c>
    </row>
    <row r="154" spans="1:6" x14ac:dyDescent="0.25">
      <c r="A154" s="2" t="s">
        <v>286</v>
      </c>
      <c r="B154" s="2" t="s">
        <v>121</v>
      </c>
      <c r="C154" s="6">
        <v>250</v>
      </c>
      <c r="D154" s="8">
        <f>IFERROR(INDEX(Items!$E$2:$E$138,MATCH(B154,Items!$A$2:$A$138,0)),"")</f>
        <v>0.05</v>
      </c>
      <c r="E154" s="4">
        <f>IF(ISNUMBER(D154),C154*D154,"")</f>
        <v>12.5</v>
      </c>
      <c r="F154" s="10">
        <f>C154/INDEX(Recipes!$C:$C,MATCH(A154,Recipes!$A:$A,0))</f>
        <v>1</v>
      </c>
    </row>
    <row r="155" spans="1:6" x14ac:dyDescent="0.25">
      <c r="A155" s="2" t="s">
        <v>286</v>
      </c>
      <c r="B155" s="2" t="s">
        <v>35</v>
      </c>
      <c r="C155" s="6">
        <v>250</v>
      </c>
      <c r="D155" s="8">
        <f>IFERROR(INDEX(Items!$E$2:$E$138,MATCH(B155,Items!$A$2:$A$138,0)),"")</f>
        <v>0.01</v>
      </c>
      <c r="E155" s="4">
        <f>IF(ISNUMBER(D155),C155*D155,"")</f>
        <v>2.5</v>
      </c>
      <c r="F155" s="10">
        <f>C155/INDEX(Recipes!$C:$C,MATCH(A155,Recipes!$A:$A,0))</f>
        <v>1</v>
      </c>
    </row>
    <row r="156" spans="1:6" x14ac:dyDescent="0.25">
      <c r="A156" s="2" t="s">
        <v>286</v>
      </c>
      <c r="B156" s="2" t="s">
        <v>48</v>
      </c>
      <c r="C156" s="6">
        <v>250</v>
      </c>
      <c r="D156" s="8">
        <f>IFERROR(INDEX(Items!$E$2:$E$138,MATCH(B156,Items!$A$2:$A$138,0)),"")</f>
        <v>0.02</v>
      </c>
      <c r="E156" s="4">
        <f>IF(ISNUMBER(D156),C156*D156,"")</f>
        <v>5</v>
      </c>
      <c r="F156" s="10">
        <f>C156/INDEX(Recipes!$C:$C,MATCH(A156,Recipes!$A:$A,0))</f>
        <v>1</v>
      </c>
    </row>
    <row r="157" spans="1:6" x14ac:dyDescent="0.25">
      <c r="A157" s="2" t="s">
        <v>290</v>
      </c>
      <c r="B157" s="2" t="s">
        <v>89</v>
      </c>
      <c r="C157" s="6">
        <v>5</v>
      </c>
      <c r="D157" s="8">
        <f>IFERROR(INDEX(Items!$E$2:$E$138,MATCH(B157,Items!$A$2:$A$138,0)),"")</f>
        <v>6.25</v>
      </c>
      <c r="E157" s="4">
        <f>IF(ISNUMBER(D157),C157*D157,"")</f>
        <v>31.25</v>
      </c>
      <c r="F157" s="10">
        <f>C157/INDEX(Recipes!$C:$C,MATCH(A157,Recipes!$A:$A,0))</f>
        <v>0.05</v>
      </c>
    </row>
    <row r="158" spans="1:6" x14ac:dyDescent="0.25">
      <c r="A158" s="2" t="s">
        <v>290</v>
      </c>
      <c r="B158" s="2" t="s">
        <v>56</v>
      </c>
      <c r="C158" s="6">
        <v>50</v>
      </c>
      <c r="D158" s="8">
        <f>IFERROR(INDEX(Items!$E$2:$E$138,MATCH(B158,Items!$A$2:$A$138,0)),"")</f>
        <v>12</v>
      </c>
      <c r="E158" s="4">
        <f>IF(ISNUMBER(D158),C158*D158,"")</f>
        <v>600</v>
      </c>
      <c r="F158" s="10">
        <f>C158/INDEX(Recipes!$C:$C,MATCH(A158,Recipes!$A:$A,0))</f>
        <v>0.5</v>
      </c>
    </row>
    <row r="159" spans="1:6" x14ac:dyDescent="0.25">
      <c r="A159" s="2" t="s">
        <v>292</v>
      </c>
      <c r="B159" s="2" t="s">
        <v>93</v>
      </c>
      <c r="C159" s="6">
        <v>50</v>
      </c>
      <c r="D159" s="8">
        <f>IFERROR(INDEX(Items!$E$2:$E$138,MATCH(B159,Items!$A$2:$A$138,0)),"")</f>
        <v>0.6</v>
      </c>
      <c r="E159" s="4">
        <f>IF(ISNUMBER(D159),C159*D159,"")</f>
        <v>30</v>
      </c>
      <c r="F159" s="10">
        <f>C159/INDEX(Recipes!$C:$C,MATCH(A159,Recipes!$A:$A,0))</f>
        <v>0.5</v>
      </c>
    </row>
    <row r="160" spans="1:6" x14ac:dyDescent="0.25">
      <c r="A160" s="2" t="s">
        <v>292</v>
      </c>
      <c r="B160" s="2" t="s">
        <v>81</v>
      </c>
      <c r="C160" s="6">
        <v>100</v>
      </c>
      <c r="D160" s="8">
        <f>IFERROR(INDEX(Items!$E$2:$E$138,MATCH(B160,Items!$A$2:$A$138,0)),"")</f>
        <v>3.5</v>
      </c>
      <c r="E160" s="4">
        <f>IF(ISNUMBER(D160),C160*D160,"")</f>
        <v>350</v>
      </c>
      <c r="F160" s="10">
        <f>C160/INDEX(Recipes!$C:$C,MATCH(A160,Recipes!$A:$A,0))</f>
        <v>1</v>
      </c>
    </row>
    <row r="161" spans="1:6" x14ac:dyDescent="0.25">
      <c r="A161" s="2" t="s">
        <v>294</v>
      </c>
      <c r="B161" s="2" t="s">
        <v>138</v>
      </c>
      <c r="C161" s="6">
        <v>50</v>
      </c>
      <c r="D161" s="8">
        <f>IFERROR(INDEX(Items!$E$2:$E$138,MATCH(B161,Items!$A$2:$A$138,0)),"")</f>
        <v>0.01</v>
      </c>
      <c r="E161" s="4">
        <f>IF(ISNUMBER(D161),C161*D161,"")</f>
        <v>0.5</v>
      </c>
      <c r="F161" s="10">
        <f>C161/INDEX(Recipes!$C:$C,MATCH(A161,Recipes!$A:$A,0))</f>
        <v>1</v>
      </c>
    </row>
    <row r="162" spans="1:6" x14ac:dyDescent="0.25">
      <c r="A162" s="2" t="s">
        <v>294</v>
      </c>
      <c r="B162" s="2" t="s">
        <v>21</v>
      </c>
      <c r="C162" s="6">
        <v>100</v>
      </c>
      <c r="D162" s="8">
        <f>IFERROR(INDEX(Items!$E$2:$E$138,MATCH(B162,Items!$A$2:$A$138,0)),"")</f>
        <v>0.24</v>
      </c>
      <c r="E162" s="4">
        <f>IF(ISNUMBER(D162),C162*D162,"")</f>
        <v>24</v>
      </c>
      <c r="F162" s="10">
        <f>C162/INDEX(Recipes!$C:$C,MATCH(A162,Recipes!$A:$A,0))</f>
        <v>2</v>
      </c>
    </row>
    <row r="163" spans="1:6" x14ac:dyDescent="0.25">
      <c r="A163" s="2" t="s">
        <v>294</v>
      </c>
      <c r="B163" s="2" t="s">
        <v>141</v>
      </c>
      <c r="C163" s="6">
        <v>50</v>
      </c>
      <c r="D163" s="8">
        <f>IFERROR(INDEX(Items!$E$2:$E$138,MATCH(B163,Items!$A$2:$A$138,0)),"")</f>
        <v>0.01</v>
      </c>
      <c r="E163" s="4">
        <f>IF(ISNUMBER(D163),C163*D163,"")</f>
        <v>0.5</v>
      </c>
      <c r="F163" s="10">
        <f>C163/INDEX(Recipes!$C:$C,MATCH(A163,Recipes!$A:$A,0))</f>
        <v>1</v>
      </c>
    </row>
    <row r="164" spans="1:6" x14ac:dyDescent="0.25">
      <c r="A164" s="2" t="s">
        <v>296</v>
      </c>
      <c r="B164" s="2" t="s">
        <v>89</v>
      </c>
      <c r="C164" s="6">
        <v>1</v>
      </c>
      <c r="D164" s="8">
        <f>IFERROR(INDEX(Items!$E$2:$E$138,MATCH(B164,Items!$A$2:$A$138,0)),"")</f>
        <v>6.25</v>
      </c>
      <c r="E164" s="4">
        <f>IF(ISNUMBER(D164),C164*D164,"")</f>
        <v>6.25</v>
      </c>
      <c r="F164" s="10">
        <f>C164/INDEX(Recipes!$C:$C,MATCH(A164,Recipes!$A:$A,0))</f>
        <v>0.01</v>
      </c>
    </row>
    <row r="165" spans="1:6" x14ac:dyDescent="0.25">
      <c r="A165" s="2" t="s">
        <v>296</v>
      </c>
      <c r="B165" s="2" t="s">
        <v>54</v>
      </c>
      <c r="C165" s="6">
        <v>20</v>
      </c>
      <c r="D165" s="8">
        <f>IFERROR(INDEX(Items!$E$2:$E$138,MATCH(B165,Items!$A$2:$A$138,0)),"")</f>
        <v>6</v>
      </c>
      <c r="E165" s="4">
        <f>IF(ISNUMBER(D165),C165*D165,"")</f>
        <v>120</v>
      </c>
      <c r="F165" s="10">
        <f>C165/INDEX(Recipes!$C:$C,MATCH(A165,Recipes!$A:$A,0))</f>
        <v>0.2</v>
      </c>
    </row>
    <row r="166" spans="1:6" x14ac:dyDescent="0.25">
      <c r="A166" s="2" t="s">
        <v>298</v>
      </c>
      <c r="B166" s="2" t="s">
        <v>99</v>
      </c>
      <c r="C166" s="6">
        <v>300</v>
      </c>
      <c r="D166" s="8">
        <f>IFERROR(INDEX(Items!$E$2:$E$138,MATCH(B166,Items!$A$2:$A$138,0)),"")</f>
        <v>4</v>
      </c>
      <c r="E166" s="4">
        <f>IF(ISNUMBER(D166),C166*D166,"")</f>
        <v>1200</v>
      </c>
      <c r="F166" s="10">
        <f>C166/INDEX(Recipes!$C:$C,MATCH(A166,Recipes!$A:$A,0))</f>
        <v>10</v>
      </c>
    </row>
    <row r="167" spans="1:6" x14ac:dyDescent="0.25">
      <c r="A167" s="2" t="s">
        <v>298</v>
      </c>
      <c r="B167" s="2" t="s">
        <v>128</v>
      </c>
      <c r="C167" s="6">
        <v>300</v>
      </c>
      <c r="D167" s="8">
        <f>IFERROR(INDEX(Items!$E$2:$E$138,MATCH(B167,Items!$A$2:$A$138,0)),"")</f>
        <v>8</v>
      </c>
      <c r="E167" s="4">
        <f>IF(ISNUMBER(D167),C167*D167,"")</f>
        <v>2400</v>
      </c>
      <c r="F167" s="10">
        <f>C167/INDEX(Recipes!$C:$C,MATCH(A167,Recipes!$A:$A,0))</f>
        <v>10</v>
      </c>
    </row>
    <row r="168" spans="1:6" x14ac:dyDescent="0.25">
      <c r="A168" s="2" t="s">
        <v>298</v>
      </c>
      <c r="B168" s="2" t="s">
        <v>33</v>
      </c>
      <c r="C168" s="6">
        <v>300</v>
      </c>
      <c r="D168" s="8">
        <f>IFERROR(INDEX(Items!$E$2:$E$138,MATCH(B168,Items!$A$2:$A$138,0)),"")</f>
        <v>6</v>
      </c>
      <c r="E168" s="4">
        <f>IF(ISNUMBER(D168),C168*D168,"")</f>
        <v>1800</v>
      </c>
      <c r="F168" s="10">
        <f>C168/INDEX(Recipes!$C:$C,MATCH(A168,Recipes!$A:$A,0))</f>
        <v>10</v>
      </c>
    </row>
    <row r="169" spans="1:6" x14ac:dyDescent="0.25">
      <c r="A169" s="2" t="s">
        <v>298</v>
      </c>
      <c r="B169" s="2" t="s">
        <v>73</v>
      </c>
      <c r="C169" s="6">
        <v>60</v>
      </c>
      <c r="D169" s="8">
        <f>IFERROR(INDEX(Items!$E$2:$E$138,MATCH(B169,Items!$A$2:$A$138,0)),"")</f>
        <v>10</v>
      </c>
      <c r="E169" s="4">
        <f>IF(ISNUMBER(D169),C169*D169,"")</f>
        <v>600</v>
      </c>
      <c r="F169" s="10">
        <f>C169/INDEX(Recipes!$C:$C,MATCH(A169,Recipes!$A:$A,0))</f>
        <v>2</v>
      </c>
    </row>
    <row r="170" spans="1:6" x14ac:dyDescent="0.25">
      <c r="A170" s="2" t="s">
        <v>298</v>
      </c>
      <c r="B170" s="2" t="s">
        <v>50</v>
      </c>
      <c r="C170" s="6">
        <v>30</v>
      </c>
      <c r="D170" s="8">
        <f>IFERROR(INDEX(Items!$E$2:$E$138,MATCH(B170,Items!$A$2:$A$138,0)),"")</f>
        <v>8</v>
      </c>
      <c r="E170" s="4">
        <f>IF(ISNUMBER(D170),C170*D170,"")</f>
        <v>240</v>
      </c>
      <c r="F170" s="10">
        <f>C170/INDEX(Recipes!$C:$C,MATCH(A170,Recipes!$A:$A,0))</f>
        <v>1</v>
      </c>
    </row>
    <row r="171" spans="1:6" x14ac:dyDescent="0.25">
      <c r="A171" s="2" t="s">
        <v>298</v>
      </c>
      <c r="B171" s="2" t="s">
        <v>119</v>
      </c>
      <c r="C171" s="6">
        <v>30</v>
      </c>
      <c r="D171" s="8">
        <f>IFERROR(INDEX(Items!$E$2:$E$138,MATCH(B171,Items!$A$2:$A$138,0)),"")</f>
        <v>6</v>
      </c>
      <c r="E171" s="4">
        <f>IF(ISNUMBER(D171),C171*D171,"")</f>
        <v>180</v>
      </c>
      <c r="F171" s="10">
        <f>C171/INDEX(Recipes!$C:$C,MATCH(A171,Recipes!$A:$A,0))</f>
        <v>1</v>
      </c>
    </row>
    <row r="172" spans="1:6" x14ac:dyDescent="0.25">
      <c r="A172" s="2" t="s">
        <v>298</v>
      </c>
      <c r="B172" s="2" t="s">
        <v>83</v>
      </c>
      <c r="C172" s="6">
        <v>30</v>
      </c>
      <c r="D172" s="8">
        <f>IFERROR(INDEX(Items!$E$2:$E$138,MATCH(B172,Items!$A$2:$A$138,0)),"")</f>
        <v>8</v>
      </c>
      <c r="E172" s="4">
        <f>IF(ISNUMBER(D172),C172*D172,"")</f>
        <v>240</v>
      </c>
      <c r="F172" s="10">
        <f>C172/INDEX(Recipes!$C:$C,MATCH(A172,Recipes!$A:$A,0))</f>
        <v>1</v>
      </c>
    </row>
    <row r="173" spans="1:6" x14ac:dyDescent="0.25">
      <c r="A173" s="2" t="s">
        <v>298</v>
      </c>
      <c r="B173" s="2" t="s">
        <v>93</v>
      </c>
      <c r="C173" s="6">
        <v>30</v>
      </c>
      <c r="D173" s="8">
        <f>IFERROR(INDEX(Items!$E$2:$E$138,MATCH(B173,Items!$A$2:$A$138,0)),"")</f>
        <v>0.6</v>
      </c>
      <c r="E173" s="4">
        <f>IF(ISNUMBER(D173),C173*D173,"")</f>
        <v>18</v>
      </c>
      <c r="F173" s="10">
        <f>C173/INDEX(Recipes!$C:$C,MATCH(A173,Recipes!$A:$A,0))</f>
        <v>1</v>
      </c>
    </row>
    <row r="174" spans="1:6" x14ac:dyDescent="0.25">
      <c r="A174" s="2" t="s">
        <v>298</v>
      </c>
      <c r="B174" s="2" t="s">
        <v>60</v>
      </c>
      <c r="C174" s="6">
        <v>30</v>
      </c>
      <c r="D174" s="8">
        <f>IFERROR(INDEX(Items!$E$2:$E$138,MATCH(B174,Items!$A$2:$A$138,0)),"")</f>
        <v>0.5</v>
      </c>
      <c r="E174" s="4">
        <f>IF(ISNUMBER(D174),C174*D174,"")</f>
        <v>15</v>
      </c>
      <c r="F174" s="10">
        <f>C174/INDEX(Recipes!$C:$C,MATCH(A174,Recipes!$A:$A,0))</f>
        <v>1</v>
      </c>
    </row>
    <row r="175" spans="1:6" x14ac:dyDescent="0.25">
      <c r="A175" s="2" t="s">
        <v>298</v>
      </c>
      <c r="B175" s="2" t="s">
        <v>24</v>
      </c>
      <c r="C175" s="6">
        <v>30</v>
      </c>
      <c r="D175" s="8">
        <f>IFERROR(INDEX(Items!$E$2:$E$138,MATCH(B175,Items!$A$2:$A$138,0)),"")</f>
        <v>16</v>
      </c>
      <c r="E175" s="4">
        <f>IF(ISNUMBER(D175),C175*D175,"")</f>
        <v>480</v>
      </c>
      <c r="F175" s="10">
        <f>C175/INDEX(Recipes!$C:$C,MATCH(A175,Recipes!$A:$A,0))</f>
        <v>1</v>
      </c>
    </row>
    <row r="176" spans="1:6" x14ac:dyDescent="0.25">
      <c r="A176" s="2" t="s">
        <v>300</v>
      </c>
      <c r="B176" s="2" t="s">
        <v>99</v>
      </c>
      <c r="C176" s="6">
        <v>60</v>
      </c>
      <c r="D176" s="8">
        <f>IFERROR(INDEX(Items!$E$2:$E$138,MATCH(B176,Items!$A$2:$A$138,0)),"")</f>
        <v>4</v>
      </c>
      <c r="E176" s="4">
        <f>IF(ISNUMBER(D176),C176*D176,"")</f>
        <v>240</v>
      </c>
      <c r="F176" s="10">
        <f>C176/INDEX(Recipes!$C:$C,MATCH(A176,Recipes!$A:$A,0))</f>
        <v>2</v>
      </c>
    </row>
    <row r="177" spans="1:6" x14ac:dyDescent="0.25">
      <c r="A177" s="2" t="s">
        <v>300</v>
      </c>
      <c r="B177" s="2" t="s">
        <v>128</v>
      </c>
      <c r="C177" s="6">
        <v>60</v>
      </c>
      <c r="D177" s="8">
        <f>IFERROR(INDEX(Items!$E$2:$E$138,MATCH(B177,Items!$A$2:$A$138,0)),"")</f>
        <v>8</v>
      </c>
      <c r="E177" s="4">
        <f>IF(ISNUMBER(D177),C177*D177,"")</f>
        <v>480</v>
      </c>
      <c r="F177" s="10">
        <f>C177/INDEX(Recipes!$C:$C,MATCH(A177,Recipes!$A:$A,0))</f>
        <v>2</v>
      </c>
    </row>
    <row r="178" spans="1:6" x14ac:dyDescent="0.25">
      <c r="A178" s="2" t="s">
        <v>300</v>
      </c>
      <c r="B178" s="2" t="s">
        <v>33</v>
      </c>
      <c r="C178" s="6">
        <v>60</v>
      </c>
      <c r="D178" s="8">
        <f>IFERROR(INDEX(Items!$E$2:$E$138,MATCH(B178,Items!$A$2:$A$138,0)),"")</f>
        <v>6</v>
      </c>
      <c r="E178" s="4">
        <f>IF(ISNUMBER(D178),C178*D178,"")</f>
        <v>360</v>
      </c>
      <c r="F178" s="10">
        <f>C178/INDEX(Recipes!$C:$C,MATCH(A178,Recipes!$A:$A,0))</f>
        <v>2</v>
      </c>
    </row>
    <row r="179" spans="1:6" x14ac:dyDescent="0.25">
      <c r="A179" s="2" t="s">
        <v>300</v>
      </c>
      <c r="B179" s="2" t="s">
        <v>73</v>
      </c>
      <c r="C179" s="6">
        <v>30</v>
      </c>
      <c r="D179" s="8">
        <f>IFERROR(INDEX(Items!$E$2:$E$138,MATCH(B179,Items!$A$2:$A$138,0)),"")</f>
        <v>10</v>
      </c>
      <c r="E179" s="4">
        <f>IF(ISNUMBER(D179),C179*D179,"")</f>
        <v>300</v>
      </c>
      <c r="F179" s="10">
        <f>C179/INDEX(Recipes!$C:$C,MATCH(A179,Recipes!$A:$A,0))</f>
        <v>1</v>
      </c>
    </row>
    <row r="180" spans="1:6" x14ac:dyDescent="0.25">
      <c r="A180" s="2" t="s">
        <v>300</v>
      </c>
      <c r="B180" s="2" t="s">
        <v>50</v>
      </c>
      <c r="C180" s="6">
        <v>30</v>
      </c>
      <c r="D180" s="8">
        <f>IFERROR(INDEX(Items!$E$2:$E$138,MATCH(B180,Items!$A$2:$A$138,0)),"")</f>
        <v>8</v>
      </c>
      <c r="E180" s="4">
        <f>IF(ISNUMBER(D180),C180*D180,"")</f>
        <v>240</v>
      </c>
      <c r="F180" s="10">
        <f>C180/INDEX(Recipes!$C:$C,MATCH(A180,Recipes!$A:$A,0))</f>
        <v>1</v>
      </c>
    </row>
    <row r="181" spans="1:6" x14ac:dyDescent="0.25">
      <c r="A181" s="2" t="s">
        <v>300</v>
      </c>
      <c r="B181" s="2" t="s">
        <v>119</v>
      </c>
      <c r="C181" s="6">
        <v>30</v>
      </c>
      <c r="D181" s="8">
        <f>IFERROR(INDEX(Items!$E$2:$E$138,MATCH(B181,Items!$A$2:$A$138,0)),"")</f>
        <v>6</v>
      </c>
      <c r="E181" s="4">
        <f>IF(ISNUMBER(D181),C181*D181,"")</f>
        <v>180</v>
      </c>
      <c r="F181" s="10">
        <f>C181/INDEX(Recipes!$C:$C,MATCH(A181,Recipes!$A:$A,0))</f>
        <v>1</v>
      </c>
    </row>
    <row r="182" spans="1:6" x14ac:dyDescent="0.25">
      <c r="A182" s="2" t="s">
        <v>300</v>
      </c>
      <c r="B182" s="2" t="s">
        <v>83</v>
      </c>
      <c r="C182" s="6">
        <v>30</v>
      </c>
      <c r="D182" s="8">
        <f>IFERROR(INDEX(Items!$E$2:$E$138,MATCH(B182,Items!$A$2:$A$138,0)),"")</f>
        <v>8</v>
      </c>
      <c r="E182" s="4">
        <f>IF(ISNUMBER(D182),C182*D182,"")</f>
        <v>240</v>
      </c>
      <c r="F182" s="10">
        <f>C182/INDEX(Recipes!$C:$C,MATCH(A182,Recipes!$A:$A,0))</f>
        <v>1</v>
      </c>
    </row>
    <row r="183" spans="1:6" x14ac:dyDescent="0.25">
      <c r="A183" s="2" t="s">
        <v>300</v>
      </c>
      <c r="B183" s="2" t="s">
        <v>93</v>
      </c>
      <c r="C183" s="6">
        <v>5</v>
      </c>
      <c r="D183" s="8">
        <f>IFERROR(INDEX(Items!$E$2:$E$138,MATCH(B183,Items!$A$2:$A$138,0)),"")</f>
        <v>0.6</v>
      </c>
      <c r="E183" s="4">
        <f>IF(ISNUMBER(D183),C183*D183,"")</f>
        <v>3</v>
      </c>
      <c r="F183" s="10">
        <f>C183/INDEX(Recipes!$C:$C,MATCH(A183,Recipes!$A:$A,0))</f>
        <v>0.16666666666666666</v>
      </c>
    </row>
    <row r="184" spans="1:6" x14ac:dyDescent="0.25">
      <c r="A184" s="2" t="s">
        <v>300</v>
      </c>
      <c r="B184" s="2" t="s">
        <v>60</v>
      </c>
      <c r="C184" s="6">
        <v>5</v>
      </c>
      <c r="D184" s="8">
        <f>IFERROR(INDEX(Items!$E$2:$E$138,MATCH(B184,Items!$A$2:$A$138,0)),"")</f>
        <v>0.5</v>
      </c>
      <c r="E184" s="4">
        <f>IF(ISNUMBER(D184),C184*D184,"")</f>
        <v>2.5</v>
      </c>
      <c r="F184" s="10">
        <f>C184/INDEX(Recipes!$C:$C,MATCH(A184,Recipes!$A:$A,0))</f>
        <v>0.16666666666666666</v>
      </c>
    </row>
    <row r="185" spans="1:6" x14ac:dyDescent="0.25">
      <c r="A185" s="2" t="s">
        <v>300</v>
      </c>
      <c r="B185" s="2" t="s">
        <v>24</v>
      </c>
      <c r="C185" s="6">
        <v>30</v>
      </c>
      <c r="D185" s="8">
        <f>IFERROR(INDEX(Items!$E$2:$E$138,MATCH(B185,Items!$A$2:$A$138,0)),"")</f>
        <v>16</v>
      </c>
      <c r="E185" s="4">
        <f>IF(ISNUMBER(D185),C185*D185,"")</f>
        <v>480</v>
      </c>
      <c r="F185" s="10">
        <f>C185/INDEX(Recipes!$C:$C,MATCH(A185,Recipes!$A:$A,0))</f>
        <v>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L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60" customWidth="1"/>
    <col min="3" max="4" width="12" customWidth="1"/>
    <col min="5" max="5" width="52" customWidth="1"/>
    <col min="6" max="8" width="14" customWidth="1"/>
    <col min="9" max="11" width="13" customWidth="1"/>
    <col min="12" max="12" width="15" customWidth="1"/>
  </cols>
  <sheetData>
    <row r="1" ht="30" customHeight="1" spans="1:12" x14ac:dyDescent="0.25">
      <c r="A1" s="1" t="s">
        <v>355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359</v>
      </c>
      <c r="G1" s="1" t="s">
        <v>365</v>
      </c>
      <c r="H1" s="1" t="s">
        <v>366</v>
      </c>
      <c r="I1" s="1" t="s">
        <v>5</v>
      </c>
      <c r="J1" s="1" t="s">
        <v>367</v>
      </c>
      <c r="K1" s="1" t="s">
        <v>368</v>
      </c>
      <c r="L1" s="1" t="s">
        <v>369</v>
      </c>
    </row>
    <row r="2" spans="1:12" x14ac:dyDescent="0.25">
      <c r="A2" s="2" t="s">
        <v>150</v>
      </c>
      <c r="B2" s="2" t="s">
        <v>370</v>
      </c>
      <c r="C2" s="6">
        <v>30</v>
      </c>
      <c r="D2" s="11">
        <f>ROUND(C2*0.5,0)</f>
        <v>15</v>
      </c>
      <c r="E2" s="2" t="s">
        <v>371</v>
      </c>
      <c r="F2" s="8">
        <f>SUMIFS('Recipe Ingredients'!$E$2:$E$185,'Recipe Ingredients'!$A$2:$A$185,A2)</f>
        <v>7173</v>
      </c>
      <c r="G2" s="4">
        <f>IF(C2&gt;0,F2/C2,"")</f>
        <v>239.1</v>
      </c>
      <c r="H2" s="8">
        <f>IFERROR(INDEX(Items!$E$2:$E$138,MATCH(A2,Items!$A$2:$A$138,0)),"")</f>
        <v>350</v>
      </c>
      <c r="I2" s="8">
        <f>IFERROR(INDEX(Items!$F$2:$F$138,MATCH(A2,Items!$A$2:$A$138,0)),"")</f>
        <v>799</v>
      </c>
      <c r="J2" s="4">
        <f>IF(ISNUMBER(I2),I2-G2,"")</f>
        <v>559.9</v>
      </c>
      <c r="K2" s="4">
        <f>IF(ISNUMBER(H2),H2-G2,"")</f>
        <v>110.9</v>
      </c>
      <c r="L2" s="12">
        <f>IF(ISNUMBER(J2),J2*C2,"")</f>
        <v>16797</v>
      </c>
    </row>
    <row r="3" spans="1:12" x14ac:dyDescent="0.25">
      <c r="A3" s="2" t="s">
        <v>155</v>
      </c>
      <c r="B3" s="2" t="s">
        <v>372</v>
      </c>
      <c r="C3" s="6">
        <v>30</v>
      </c>
      <c r="D3" s="11">
        <f>ROUND(C3*0.5,0)</f>
        <v>15</v>
      </c>
      <c r="E3" s="2" t="s">
        <v>371</v>
      </c>
      <c r="F3" s="8">
        <f>SUMIFS('Recipe Ingredients'!$E$2:$E$185,'Recipe Ingredients'!$A$2:$A$185,A3)</f>
        <v>2525.5</v>
      </c>
      <c r="G3" s="4">
        <f>IF(C3&gt;0,F3/C3,"")</f>
        <v>84.18333333333334</v>
      </c>
      <c r="H3" s="8">
        <f>IFERROR(INDEX(Items!$E$2:$E$138,MATCH(A3,Items!$A$2:$A$138,0)),"")</f>
        <v>150</v>
      </c>
      <c r="I3" s="8">
        <f>IFERROR(INDEX(Items!$F$2:$F$138,MATCH(A3,Items!$A$2:$A$138,0)),"")</f>
        <v>324</v>
      </c>
      <c r="J3" s="4">
        <f>IF(ISNUMBER(I3),I3-G3,"")</f>
        <v>239.81666666666666</v>
      </c>
      <c r="K3" s="4">
        <f>IF(ISNUMBER(H3),H3-G3,"")</f>
        <v>65.81666666666666</v>
      </c>
      <c r="L3" s="12">
        <f>IF(ISNUMBER(J3),J3*C3,"")</f>
        <v>7194.5</v>
      </c>
    </row>
    <row r="4" spans="1:12" x14ac:dyDescent="0.25">
      <c r="A4" s="2" t="s">
        <v>158</v>
      </c>
      <c r="B4" s="2" t="s">
        <v>373</v>
      </c>
      <c r="C4" s="6">
        <v>250</v>
      </c>
      <c r="D4" s="11">
        <f>ROUND(C4*0.5,0)</f>
        <v>125</v>
      </c>
      <c r="E4" s="2" t="s">
        <v>374</v>
      </c>
      <c r="F4" s="8">
        <f>SUMIFS('Recipe Ingredients'!$E$2:$E$185,'Recipe Ingredients'!$A$2:$A$185,A4)</f>
        <v>25.5</v>
      </c>
      <c r="G4" s="4">
        <f>IF(C4&gt;0,F4/C4,"")</f>
        <v>0.102</v>
      </c>
      <c r="H4" s="8">
        <f>IFERROR(INDEX(Items!$E$2:$E$138,MATCH(A4,Items!$A$2:$A$138,0)),"")</f>
        <v>0.32</v>
      </c>
      <c r="I4" s="8">
        <f>IFERROR(INDEX(Items!$F$2:$F$138,MATCH(A4,Items!$A$2:$A$138,0)),"")</f>
        <v>2.89</v>
      </c>
      <c r="J4" s="4">
        <f>IF(ISNUMBER(I4),I4-G4,"")</f>
        <v>2.7880000000000003</v>
      </c>
      <c r="K4" s="4">
        <f>IF(ISNUMBER(H4),H4-G4,"")</f>
        <v>0.21800000000000003</v>
      </c>
      <c r="L4" s="12">
        <f>IF(ISNUMBER(J4),J4*C4,"")</f>
        <v>697.0000000000001</v>
      </c>
    </row>
    <row r="5" spans="1:12" x14ac:dyDescent="0.25">
      <c r="A5" s="2" t="s">
        <v>162</v>
      </c>
      <c r="B5" s="2" t="s">
        <v>375</v>
      </c>
      <c r="C5" s="6">
        <v>250</v>
      </c>
      <c r="D5" s="11">
        <f>ROUND(C5*0.5,0)</f>
        <v>125</v>
      </c>
      <c r="E5" s="2" t="s">
        <v>374</v>
      </c>
      <c r="F5" s="8">
        <f>SUMIFS('Recipe Ingredients'!$E$2:$E$185,'Recipe Ingredients'!$A$2:$A$185,A5)</f>
        <v>25.5</v>
      </c>
      <c r="G5" s="4">
        <f>IF(C5&gt;0,F5/C5,"")</f>
        <v>0.102</v>
      </c>
      <c r="H5" s="8">
        <f>IFERROR(INDEX(Items!$E$2:$E$138,MATCH(A5,Items!$A$2:$A$138,0)),"")</f>
        <v>0.26</v>
      </c>
      <c r="I5" s="8">
        <f>IFERROR(INDEX(Items!$F$2:$F$138,MATCH(A5,Items!$A$2:$A$138,0)),"")</f>
        <v>2.35</v>
      </c>
      <c r="J5" s="4">
        <f>IF(ISNUMBER(I5),I5-G5,"")</f>
        <v>2.248</v>
      </c>
      <c r="K5" s="4">
        <f>IF(ISNUMBER(H5),H5-G5,"")</f>
        <v>0.15800000000000003</v>
      </c>
      <c r="L5" s="12">
        <f>IF(ISNUMBER(J5),J5*C5,"")</f>
        <v>562</v>
      </c>
    </row>
    <row r="6" spans="1:12" x14ac:dyDescent="0.25">
      <c r="A6" s="2" t="s">
        <v>164</v>
      </c>
      <c r="B6" s="2" t="s">
        <v>376</v>
      </c>
      <c r="C6" s="6">
        <v>250</v>
      </c>
      <c r="D6" s="11">
        <f>ROUND(C6*0.5,0)</f>
        <v>125</v>
      </c>
      <c r="E6" s="2" t="s">
        <v>374</v>
      </c>
      <c r="F6" s="8">
        <f>SUMIFS('Recipe Ingredients'!$E$2:$E$185,'Recipe Ingredients'!$A$2:$A$185,A6)</f>
        <v>25.5</v>
      </c>
      <c r="G6" s="4">
        <f>IF(C6&gt;0,F6/C6,"")</f>
        <v>0.102</v>
      </c>
      <c r="H6" s="8">
        <f>IFERROR(INDEX(Items!$E$2:$E$138,MATCH(A6,Items!$A$2:$A$138,0)),"")</f>
        <v>0.28</v>
      </c>
      <c r="I6" s="8">
        <f>IFERROR(INDEX(Items!$F$2:$F$138,MATCH(A6,Items!$A$2:$A$138,0)),"")</f>
        <v>2.24</v>
      </c>
      <c r="J6" s="4">
        <f>IF(ISNUMBER(I6),I6-G6,"")</f>
        <v>2.1380000000000003</v>
      </c>
      <c r="K6" s="4">
        <f>IF(ISNUMBER(H6),H6-G6,"")</f>
        <v>0.17800000000000005</v>
      </c>
      <c r="L6" s="12">
        <f>IF(ISNUMBER(J6),J6*C6,"")</f>
        <v>534.5000000000001</v>
      </c>
    </row>
    <row r="7" spans="1:12" x14ac:dyDescent="0.25">
      <c r="A7" s="2" t="s">
        <v>143</v>
      </c>
      <c r="B7" s="2" t="s">
        <v>377</v>
      </c>
      <c r="C7" s="6">
        <v>250</v>
      </c>
      <c r="D7" s="11">
        <f>ROUND(C7*0.5,0)</f>
        <v>125</v>
      </c>
      <c r="E7" s="2" t="s">
        <v>374</v>
      </c>
      <c r="F7" s="8">
        <f>SUMIFS('Recipe Ingredients'!$E$2:$E$185,'Recipe Ingredients'!$A$2:$A$185,A7)</f>
        <v>25.5</v>
      </c>
      <c r="G7" s="4">
        <f>IF(C7&gt;0,F7/C7,"")</f>
        <v>0.102</v>
      </c>
      <c r="H7" s="8">
        <f>IFERROR(INDEX(Items!$E$2:$E$138,MATCH(A7,Items!$A$2:$A$138,0)),"")</f>
        <v>0.28</v>
      </c>
      <c r="I7" s="8">
        <f>IFERROR(INDEX(Items!$F$2:$F$138,MATCH(A7,Items!$A$2:$A$138,0)),"")</f>
        <v>2.12</v>
      </c>
      <c r="J7" s="4">
        <f>IF(ISNUMBER(I7),I7-G7,"")</f>
        <v>2.0180000000000002</v>
      </c>
      <c r="K7" s="4">
        <f>IF(ISNUMBER(H7),H7-G7,"")</f>
        <v>0.17800000000000005</v>
      </c>
      <c r="L7" s="12">
        <f>IF(ISNUMBER(J7),J7*C7,"")</f>
        <v>504.50000000000006</v>
      </c>
    </row>
    <row r="8" spans="1:12" x14ac:dyDescent="0.25">
      <c r="A8" s="2" t="s">
        <v>166</v>
      </c>
      <c r="B8" s="2" t="s">
        <v>378</v>
      </c>
      <c r="C8" s="6">
        <v>250</v>
      </c>
      <c r="D8" s="11">
        <f>ROUND(C8*0.5,0)</f>
        <v>125</v>
      </c>
      <c r="E8" s="2" t="s">
        <v>374</v>
      </c>
      <c r="F8" s="8">
        <f>SUMIFS('Recipe Ingredients'!$E$2:$E$185,'Recipe Ingredients'!$A$2:$A$185,A8)</f>
        <v>25.5</v>
      </c>
      <c r="G8" s="4">
        <f>IF(C8&gt;0,F8/C8,"")</f>
        <v>0.102</v>
      </c>
      <c r="H8" s="8">
        <f>IFERROR(INDEX(Items!$E$2:$E$138,MATCH(A8,Items!$A$2:$A$138,0)),"")</f>
        <v>0.29</v>
      </c>
      <c r="I8" s="8">
        <f>IFERROR(INDEX(Items!$F$2:$F$138,MATCH(A8,Items!$A$2:$A$138,0)),"")</f>
        <v>2.62</v>
      </c>
      <c r="J8" s="4">
        <f>IF(ISNUMBER(I8),I8-G8,"")</f>
        <v>2.5180000000000002</v>
      </c>
      <c r="K8" s="4">
        <f>IF(ISNUMBER(H8),H8-G8,"")</f>
        <v>0.188</v>
      </c>
      <c r="L8" s="12">
        <f>IF(ISNUMBER(J8),J8*C8,"")</f>
        <v>629.5000000000001</v>
      </c>
    </row>
    <row r="9" spans="1:12" x14ac:dyDescent="0.25">
      <c r="A9" s="2" t="s">
        <v>148</v>
      </c>
      <c r="B9" s="2" t="s">
        <v>379</v>
      </c>
      <c r="C9" s="6">
        <v>250</v>
      </c>
      <c r="D9" s="11">
        <f>ROUND(C9*0.5,0)</f>
        <v>125</v>
      </c>
      <c r="E9" s="2" t="s">
        <v>374</v>
      </c>
      <c r="F9" s="8">
        <f>SUMIFS('Recipe Ingredients'!$E$2:$E$185,'Recipe Ingredients'!$A$2:$A$185,A9)</f>
        <v>25.5</v>
      </c>
      <c r="G9" s="4">
        <f>IF(C9&gt;0,F9/C9,"")</f>
        <v>0.102</v>
      </c>
      <c r="H9" s="8">
        <f>IFERROR(INDEX(Items!$E$2:$E$138,MATCH(A9,Items!$A$2:$A$138,0)),"")</f>
        <v>0.29</v>
      </c>
      <c r="I9" s="8">
        <f>IFERROR(INDEX(Items!$F$2:$F$138,MATCH(A9,Items!$A$2:$A$138,0)),"")</f>
        <v>2.56</v>
      </c>
      <c r="J9" s="4">
        <f>IF(ISNUMBER(I9),I9-G9,"")</f>
        <v>2.458</v>
      </c>
      <c r="K9" s="4">
        <f>IF(ISNUMBER(H9),H9-G9,"")</f>
        <v>0.188</v>
      </c>
      <c r="L9" s="12">
        <f>IF(ISNUMBER(J9),J9*C9,"")</f>
        <v>614.5</v>
      </c>
    </row>
    <row r="10" spans="1:12" x14ac:dyDescent="0.25">
      <c r="A10" s="2" t="s">
        <v>168</v>
      </c>
      <c r="B10" s="2" t="s">
        <v>380</v>
      </c>
      <c r="C10" s="6">
        <v>50</v>
      </c>
      <c r="D10" s="11">
        <f>ROUND(C10*0.5,0)</f>
        <v>25</v>
      </c>
      <c r="E10" s="2" t="s">
        <v>381</v>
      </c>
      <c r="F10" s="8">
        <f>SUMIFS('Recipe Ingredients'!$E$2:$E$185,'Recipe Ingredients'!$A$2:$A$185,A10)</f>
        <v>14.5</v>
      </c>
      <c r="G10" s="4">
        <f>IF(C10&gt;0,F10/C10,"")</f>
        <v>0.29</v>
      </c>
      <c r="H10" s="8">
        <f>IFERROR(INDEX(Items!$E$2:$E$138,MATCH(A10,Items!$A$2:$A$138,0)),"")</f>
        <v>2</v>
      </c>
      <c r="I10" s="8">
        <f>IFERROR(INDEX(Items!$F$2:$F$138,MATCH(A10,Items!$A$2:$A$138,0)),"")</f>
        <v>12</v>
      </c>
      <c r="J10" s="4">
        <f>IF(ISNUMBER(I10),I10-G10,"")</f>
        <v>11.71</v>
      </c>
      <c r="K10" s="4">
        <f>IF(ISNUMBER(H10),H10-G10,"")</f>
        <v>1.71</v>
      </c>
      <c r="L10" s="12">
        <f>IF(ISNUMBER(J10),J10*C10,"")</f>
        <v>585.5</v>
      </c>
    </row>
    <row r="11" spans="1:12" x14ac:dyDescent="0.25">
      <c r="A11" s="2" t="s">
        <v>172</v>
      </c>
      <c r="B11" s="2" t="s">
        <v>382</v>
      </c>
      <c r="C11" s="6">
        <v>50</v>
      </c>
      <c r="D11" s="11">
        <f>ROUND(C11*0.5,0)</f>
        <v>25</v>
      </c>
      <c r="E11" s="2" t="s">
        <v>381</v>
      </c>
      <c r="F11" s="8">
        <f>SUMIFS('Recipe Ingredients'!$E$2:$E$185,'Recipe Ingredients'!$A$2:$A$185,A11)</f>
        <v>38</v>
      </c>
      <c r="G11" s="4">
        <f>IF(C11&gt;0,F11/C11,"")</f>
        <v>0.76</v>
      </c>
      <c r="H11" s="8">
        <f>IFERROR(INDEX(Items!$E$2:$E$138,MATCH(A11,Items!$A$2:$A$138,0)),"")</f>
        <v>5.8</v>
      </c>
      <c r="I11" s="8">
        <f>IFERROR(INDEX(Items!$F$2:$F$138,MATCH(A11,Items!$A$2:$A$138,0)),"")</f>
        <v>21</v>
      </c>
      <c r="J11" s="4">
        <f>IF(ISNUMBER(I11),I11-G11,"")</f>
        <v>20.24</v>
      </c>
      <c r="K11" s="4">
        <f>IF(ISNUMBER(H11),H11-G11,"")</f>
        <v>5.04</v>
      </c>
      <c r="L11" s="12">
        <f>IF(ISNUMBER(J11),J11*C11,"")</f>
        <v>1011.9999999999999</v>
      </c>
    </row>
    <row r="12" spans="1:12" x14ac:dyDescent="0.25">
      <c r="A12" s="2" t="s">
        <v>175</v>
      </c>
      <c r="B12" s="2" t="s">
        <v>383</v>
      </c>
      <c r="C12" s="6">
        <v>200</v>
      </c>
      <c r="D12" s="11">
        <f>ROUND(C12*0.5,0)</f>
        <v>100</v>
      </c>
      <c r="E12" s="2" t="s">
        <v>384</v>
      </c>
      <c r="F12" s="8">
        <f>SUMIFS('Recipe Ingredients'!$E$2:$E$185,'Recipe Ingredients'!$A$2:$A$185,A12)</f>
        <v>232.80000000000004</v>
      </c>
      <c r="G12" s="4">
        <f>IF(C12&gt;0,F12/C12,"")</f>
        <v>1.1640000000000001</v>
      </c>
      <c r="H12" s="8">
        <f>IFERROR(INDEX(Items!$E$2:$E$138,MATCH(A12,Items!$A$2:$A$138,0)),"")</f>
        <v>4.75</v>
      </c>
      <c r="I12" s="8">
        <f>IFERROR(INDEX(Items!$F$2:$F$138,MATCH(A12,Items!$A$2:$A$138,0)),"")</f>
        <v>12.5</v>
      </c>
      <c r="J12" s="4">
        <f>IF(ISNUMBER(I12),I12-G12,"")</f>
        <v>11.336</v>
      </c>
      <c r="K12" s="4">
        <f>IF(ISNUMBER(H12),H12-G12,"")</f>
        <v>3.586</v>
      </c>
      <c r="L12" s="12">
        <f>IF(ISNUMBER(J12),J12*C12,"")</f>
        <v>2267.2000000000003</v>
      </c>
    </row>
    <row r="13" spans="1:12" x14ac:dyDescent="0.25">
      <c r="A13" s="2" t="s">
        <v>179</v>
      </c>
      <c r="B13" s="2" t="s">
        <v>385</v>
      </c>
      <c r="C13" s="6">
        <v>200</v>
      </c>
      <c r="D13" s="11">
        <f>ROUND(C13*0.5,0)</f>
        <v>100</v>
      </c>
      <c r="E13" s="2" t="s">
        <v>384</v>
      </c>
      <c r="F13" s="8">
        <f>SUMIFS('Recipe Ingredients'!$E$2:$E$185,'Recipe Ingredients'!$A$2:$A$185,A13)</f>
        <v>64</v>
      </c>
      <c r="G13" s="4">
        <f>IF(C13&gt;0,F13/C13,"")</f>
        <v>0.32</v>
      </c>
      <c r="H13" s="8">
        <f>IFERROR(INDEX(Items!$E$2:$E$138,MATCH(A13,Items!$A$2:$A$138,0)),"")</f>
        <v>1</v>
      </c>
      <c r="I13" s="8">
        <f>IFERROR(INDEX(Items!$F$2:$F$138,MATCH(A13,Items!$A$2:$A$138,0)),"")</f>
        <v>15</v>
      </c>
      <c r="J13" s="4">
        <f>IF(ISNUMBER(I13),I13-G13,"")</f>
        <v>14.68</v>
      </c>
      <c r="K13" s="4">
        <f>IF(ISNUMBER(H13),H13-G13,"")</f>
        <v>0.6799999999999999</v>
      </c>
      <c r="L13" s="12">
        <f>IF(ISNUMBER(J13),J13*C13,"")</f>
        <v>2936</v>
      </c>
    </row>
    <row r="14" spans="1:12" x14ac:dyDescent="0.25">
      <c r="A14" s="2" t="s">
        <v>182</v>
      </c>
      <c r="B14" s="2" t="s">
        <v>386</v>
      </c>
      <c r="C14" s="6">
        <v>200</v>
      </c>
      <c r="D14" s="11">
        <f>ROUND(C14*0.5,0)</f>
        <v>100</v>
      </c>
      <c r="E14" s="2" t="s">
        <v>384</v>
      </c>
      <c r="F14" s="8">
        <f>SUMIFS('Recipe Ingredients'!$E$2:$E$185,'Recipe Ingredients'!$A$2:$A$185,A14)</f>
        <v>104</v>
      </c>
      <c r="G14" s="4">
        <f>IF(C14&gt;0,F14/C14,"")</f>
        <v>0.52</v>
      </c>
      <c r="H14" s="8">
        <f>IFERROR(INDEX(Items!$E$2:$E$138,MATCH(A14,Items!$A$2:$A$138,0)),"")</f>
        <v>5.2</v>
      </c>
      <c r="I14" s="8">
        <f>IFERROR(INDEX(Items!$F$2:$F$138,MATCH(A14,Items!$A$2:$A$138,0)),"")</f>
        <v>14</v>
      </c>
      <c r="J14" s="4">
        <f>IF(ISNUMBER(I14),I14-G14,"")</f>
        <v>13.48</v>
      </c>
      <c r="K14" s="4">
        <f>IF(ISNUMBER(H14),H14-G14,"")</f>
        <v>4.68</v>
      </c>
      <c r="L14" s="12">
        <f>IF(ISNUMBER(J14),J14*C14,"")</f>
        <v>2696</v>
      </c>
    </row>
    <row r="15" spans="1:12" x14ac:dyDescent="0.25">
      <c r="A15" s="2" t="s">
        <v>184</v>
      </c>
      <c r="B15" s="2" t="s">
        <v>387</v>
      </c>
      <c r="C15" s="6">
        <v>100</v>
      </c>
      <c r="D15" s="11">
        <f>ROUND(C15*0.5,0)</f>
        <v>50</v>
      </c>
      <c r="E15" s="2" t="s">
        <v>388</v>
      </c>
      <c r="F15" s="8">
        <f>SUMIFS('Recipe Ingredients'!$E$2:$E$185,'Recipe Ingredients'!$A$2:$A$185,A15)</f>
        <v>70</v>
      </c>
      <c r="G15" s="4">
        <f>IF(C15&gt;0,F15/C15,"")</f>
        <v>0.7</v>
      </c>
      <c r="H15" s="8">
        <f>IFERROR(INDEX(Items!$E$2:$E$138,MATCH(A15,Items!$A$2:$A$138,0)),"")</f>
        <v>3.6</v>
      </c>
      <c r="I15" s="8">
        <f>IFERROR(INDEX(Items!$F$2:$F$138,MATCH(A15,Items!$A$2:$A$138,0)),"")</f>
        <v>12</v>
      </c>
      <c r="J15" s="4">
        <f>IF(ISNUMBER(I15),I15-G15,"")</f>
        <v>11.3</v>
      </c>
      <c r="K15" s="4">
        <f>IF(ISNUMBER(H15),H15-G15,"")</f>
        <v>2.9000000000000004</v>
      </c>
      <c r="L15" s="12">
        <f>IF(ISNUMBER(J15),J15*C15,"")</f>
        <v>1130</v>
      </c>
    </row>
    <row r="16" spans="1:12" x14ac:dyDescent="0.25">
      <c r="A16" s="2" t="s">
        <v>187</v>
      </c>
      <c r="B16" s="2" t="s">
        <v>389</v>
      </c>
      <c r="C16" s="6">
        <v>60</v>
      </c>
      <c r="D16" s="11">
        <f>ROUND(C16*0.5,0)</f>
        <v>30</v>
      </c>
      <c r="E16" s="2" t="s">
        <v>390</v>
      </c>
      <c r="F16" s="8">
        <f>SUMIFS('Recipe Ingredients'!$E$2:$E$185,'Recipe Ingredients'!$A$2:$A$185,A16)</f>
        <v>720</v>
      </c>
      <c r="G16" s="4">
        <f>IF(C16&gt;0,F16/C16,"")</f>
        <v>12</v>
      </c>
      <c r="H16" s="8">
        <f>IFERROR(INDEX(Items!$E$2:$E$138,MATCH(A16,Items!$A$2:$A$138,0)),"")</f>
        <v>24</v>
      </c>
      <c r="I16" s="8">
        <f>IFERROR(INDEX(Items!$F$2:$F$138,MATCH(A16,Items!$A$2:$A$138,0)),"")</f>
        <v>55</v>
      </c>
      <c r="J16" s="4">
        <f>IF(ISNUMBER(I16),I16-G16,"")</f>
        <v>43</v>
      </c>
      <c r="K16" s="4">
        <f>IF(ISNUMBER(H16),H16-G16,"")</f>
        <v>12</v>
      </c>
      <c r="L16" s="12">
        <f>IF(ISNUMBER(J16),J16*C16,"")</f>
        <v>2580</v>
      </c>
    </row>
    <row r="17" spans="1:12" x14ac:dyDescent="0.25">
      <c r="A17" s="2" t="s">
        <v>190</v>
      </c>
      <c r="B17" s="2" t="s">
        <v>389</v>
      </c>
      <c r="C17" s="6">
        <v>60</v>
      </c>
      <c r="D17" s="11">
        <f>ROUND(C17*0.5,0)</f>
        <v>30</v>
      </c>
      <c r="E17" s="2" t="s">
        <v>390</v>
      </c>
      <c r="F17" s="8">
        <f>SUMIFS('Recipe Ingredients'!$E$2:$E$185,'Recipe Ingredients'!$A$2:$A$185,A17)</f>
        <v>720</v>
      </c>
      <c r="G17" s="4">
        <f>IF(C17&gt;0,F17/C17,"")</f>
        <v>12</v>
      </c>
      <c r="H17" s="8">
        <f>IFERROR(INDEX(Items!$E$2:$E$138,MATCH(A17,Items!$A$2:$A$138,0)),"")</f>
        <v>24</v>
      </c>
      <c r="I17" s="8">
        <f>IFERROR(INDEX(Items!$F$2:$F$138,MATCH(A17,Items!$A$2:$A$138,0)),"")</f>
        <v>55</v>
      </c>
      <c r="J17" s="4">
        <f>IF(ISNUMBER(I17),I17-G17,"")</f>
        <v>43</v>
      </c>
      <c r="K17" s="4">
        <f>IF(ISNUMBER(H17),H17-G17,"")</f>
        <v>12</v>
      </c>
      <c r="L17" s="12">
        <f>IF(ISNUMBER(J17),J17*C17,"")</f>
        <v>2580</v>
      </c>
    </row>
    <row r="18" spans="1:12" x14ac:dyDescent="0.25">
      <c r="A18" s="2" t="s">
        <v>192</v>
      </c>
      <c r="B18" s="2" t="s">
        <v>391</v>
      </c>
      <c r="C18" s="6">
        <v>30</v>
      </c>
      <c r="D18" s="11">
        <f>ROUND(C18*0.5,0)</f>
        <v>15</v>
      </c>
      <c r="E18" s="2" t="s">
        <v>390</v>
      </c>
      <c r="F18" s="8">
        <f>SUMIFS('Recipe Ingredients'!$E$2:$E$185,'Recipe Ingredients'!$A$2:$A$185,A18)</f>
        <v>720</v>
      </c>
      <c r="G18" s="4">
        <f>IF(C18&gt;0,F18/C18,"")</f>
        <v>24</v>
      </c>
      <c r="H18" s="8">
        <f>IFERROR(INDEX(Items!$E$2:$E$138,MATCH(A18,Items!$A$2:$A$138,0)),"")</f>
        <v>41</v>
      </c>
      <c r="I18" s="8">
        <f>IFERROR(INDEX(Items!$F$2:$F$138,MATCH(A18,Items!$A$2:$A$138,0)),"")</f>
        <v>122</v>
      </c>
      <c r="J18" s="4">
        <f>IF(ISNUMBER(I18),I18-G18,"")</f>
        <v>98</v>
      </c>
      <c r="K18" s="4">
        <f>IF(ISNUMBER(H18),H18-G18,"")</f>
        <v>17</v>
      </c>
      <c r="L18" s="12">
        <f>IF(ISNUMBER(J18),J18*C18,"")</f>
        <v>2940</v>
      </c>
    </row>
    <row r="19" spans="1:12" x14ac:dyDescent="0.25">
      <c r="A19" s="2" t="s">
        <v>195</v>
      </c>
      <c r="B19" s="2" t="s">
        <v>391</v>
      </c>
      <c r="C19" s="6">
        <v>30</v>
      </c>
      <c r="D19" s="11">
        <f>ROUND(C19*0.5,0)</f>
        <v>15</v>
      </c>
      <c r="E19" s="2" t="s">
        <v>390</v>
      </c>
      <c r="F19" s="8">
        <f>SUMIFS('Recipe Ingredients'!$E$2:$E$185,'Recipe Ingredients'!$A$2:$A$185,A19)</f>
        <v>720</v>
      </c>
      <c r="G19" s="4">
        <f>IF(C19&gt;0,F19/C19,"")</f>
        <v>24</v>
      </c>
      <c r="H19" s="8">
        <f>IFERROR(INDEX(Items!$E$2:$E$138,MATCH(A19,Items!$A$2:$A$138,0)),"")</f>
        <v>41</v>
      </c>
      <c r="I19" s="8">
        <f>IFERROR(INDEX(Items!$F$2:$F$138,MATCH(A19,Items!$A$2:$A$138,0)),"")</f>
        <v>122</v>
      </c>
      <c r="J19" s="4">
        <f>IF(ISNUMBER(I19),I19-G19,"")</f>
        <v>98</v>
      </c>
      <c r="K19" s="4">
        <f>IF(ISNUMBER(H19),H19-G19,"")</f>
        <v>17</v>
      </c>
      <c r="L19" s="12">
        <f>IF(ISNUMBER(J19),J19*C19,"")</f>
        <v>2940</v>
      </c>
    </row>
    <row r="20" spans="1:12" x14ac:dyDescent="0.25">
      <c r="A20" s="2" t="s">
        <v>197</v>
      </c>
      <c r="B20" s="2" t="s">
        <v>389</v>
      </c>
      <c r="C20" s="6">
        <v>60</v>
      </c>
      <c r="D20" s="11">
        <f>ROUND(C20*0.5,0)</f>
        <v>30</v>
      </c>
      <c r="E20" s="2" t="s">
        <v>390</v>
      </c>
      <c r="F20" s="8">
        <f>SUMIFS('Recipe Ingredients'!$E$2:$E$185,'Recipe Ingredients'!$A$2:$A$185,A20)</f>
        <v>720</v>
      </c>
      <c r="G20" s="4">
        <f>IF(C20&gt;0,F20/C20,"")</f>
        <v>12</v>
      </c>
      <c r="H20" s="8">
        <f>IFERROR(INDEX(Items!$E$2:$E$138,MATCH(A20,Items!$A$2:$A$138,0)),"")</f>
        <v>27</v>
      </c>
      <c r="I20" s="8">
        <f>IFERROR(INDEX(Items!$F$2:$F$138,MATCH(A20,Items!$A$2:$A$138,0)),"")</f>
        <v>57</v>
      </c>
      <c r="J20" s="4">
        <f>IF(ISNUMBER(I20),I20-G20,"")</f>
        <v>45</v>
      </c>
      <c r="K20" s="4">
        <f>IF(ISNUMBER(H20),H20-G20,"")</f>
        <v>15</v>
      </c>
      <c r="L20" s="12">
        <f>IF(ISNUMBER(J20),J20*C20,"")</f>
        <v>2700</v>
      </c>
    </row>
    <row r="21" spans="1:12" x14ac:dyDescent="0.25">
      <c r="A21" s="2" t="s">
        <v>199</v>
      </c>
      <c r="B21" s="2" t="s">
        <v>389</v>
      </c>
      <c r="C21" s="6">
        <v>60</v>
      </c>
      <c r="D21" s="11">
        <f>ROUND(C21*0.5,0)</f>
        <v>30</v>
      </c>
      <c r="E21" s="2" t="s">
        <v>390</v>
      </c>
      <c r="F21" s="8">
        <f>SUMIFS('Recipe Ingredients'!$E$2:$E$185,'Recipe Ingredients'!$A$2:$A$185,A21)</f>
        <v>720</v>
      </c>
      <c r="G21" s="4">
        <f>IF(C21&gt;0,F21/C21,"")</f>
        <v>12</v>
      </c>
      <c r="H21" s="8">
        <f>IFERROR(INDEX(Items!$E$2:$E$138,MATCH(A21,Items!$A$2:$A$138,0)),"")</f>
        <v>27</v>
      </c>
      <c r="I21" s="8">
        <f>IFERROR(INDEX(Items!$F$2:$F$138,MATCH(A21,Items!$A$2:$A$138,0)),"")</f>
        <v>57</v>
      </c>
      <c r="J21" s="4">
        <f>IF(ISNUMBER(I21),I21-G21,"")</f>
        <v>45</v>
      </c>
      <c r="K21" s="4">
        <f>IF(ISNUMBER(H21),H21-G21,"")</f>
        <v>15</v>
      </c>
      <c r="L21" s="12">
        <f>IF(ISNUMBER(J21),J21*C21,"")</f>
        <v>2700</v>
      </c>
    </row>
    <row r="22" spans="1:12" x14ac:dyDescent="0.25">
      <c r="A22" s="2" t="s">
        <v>201</v>
      </c>
      <c r="B22" s="2" t="s">
        <v>391</v>
      </c>
      <c r="C22" s="6">
        <v>30</v>
      </c>
      <c r="D22" s="11">
        <f>ROUND(C22*0.5,0)</f>
        <v>15</v>
      </c>
      <c r="E22" s="2" t="s">
        <v>390</v>
      </c>
      <c r="F22" s="8">
        <f>SUMIFS('Recipe Ingredients'!$E$2:$E$185,'Recipe Ingredients'!$A$2:$A$185,A22)</f>
        <v>720</v>
      </c>
      <c r="G22" s="4">
        <f>IF(C22&gt;0,F22/C22,"")</f>
        <v>24</v>
      </c>
      <c r="H22" s="8">
        <f>IFERROR(INDEX(Items!$E$2:$E$138,MATCH(A22,Items!$A$2:$A$138,0)),"")</f>
        <v>45</v>
      </c>
      <c r="I22" s="8">
        <f>IFERROR(INDEX(Items!$F$2:$F$138,MATCH(A22,Items!$A$2:$A$138,0)),"")</f>
        <v>127</v>
      </c>
      <c r="J22" s="4">
        <f>IF(ISNUMBER(I22),I22-G22,"")</f>
        <v>103</v>
      </c>
      <c r="K22" s="4">
        <f>IF(ISNUMBER(H22),H22-G22,"")</f>
        <v>21</v>
      </c>
      <c r="L22" s="12">
        <f>IF(ISNUMBER(J22),J22*C22,"")</f>
        <v>3090</v>
      </c>
    </row>
    <row r="23" spans="1:12" x14ac:dyDescent="0.25">
      <c r="A23" s="2" t="s">
        <v>203</v>
      </c>
      <c r="B23" s="2" t="s">
        <v>391</v>
      </c>
      <c r="C23" s="6">
        <v>30</v>
      </c>
      <c r="D23" s="11">
        <f>ROUND(C23*0.5,0)</f>
        <v>15</v>
      </c>
      <c r="E23" s="2" t="s">
        <v>390</v>
      </c>
      <c r="F23" s="8">
        <f>SUMIFS('Recipe Ingredients'!$E$2:$E$185,'Recipe Ingredients'!$A$2:$A$185,A23)</f>
        <v>720</v>
      </c>
      <c r="G23" s="4">
        <f>IF(C23&gt;0,F23/C23,"")</f>
        <v>24</v>
      </c>
      <c r="H23" s="8">
        <f>IFERROR(INDEX(Items!$E$2:$E$138,MATCH(A23,Items!$A$2:$A$138,0)),"")</f>
        <v>45</v>
      </c>
      <c r="I23" s="8">
        <f>IFERROR(INDEX(Items!$F$2:$F$138,MATCH(A23,Items!$A$2:$A$138,0)),"")</f>
        <v>127</v>
      </c>
      <c r="J23" s="4">
        <f>IF(ISNUMBER(I23),I23-G23,"")</f>
        <v>103</v>
      </c>
      <c r="K23" s="4">
        <f>IF(ISNUMBER(H23),H23-G23,"")</f>
        <v>21</v>
      </c>
      <c r="L23" s="12">
        <f>IF(ISNUMBER(J23),J23*C23,"")</f>
        <v>3090</v>
      </c>
    </row>
    <row r="24" spans="1:12" x14ac:dyDescent="0.25">
      <c r="A24" s="2" t="s">
        <v>205</v>
      </c>
      <c r="B24" s="2" t="s">
        <v>392</v>
      </c>
      <c r="C24" s="6">
        <v>200</v>
      </c>
      <c r="D24" s="11">
        <f>ROUND(C24*0.5,0)</f>
        <v>100</v>
      </c>
      <c r="E24" s="2" t="s">
        <v>393</v>
      </c>
      <c r="F24" s="8">
        <f>SUMIFS('Recipe Ingredients'!$E$2:$E$185,'Recipe Ingredients'!$A$2:$A$185,A24)</f>
        <v>10</v>
      </c>
      <c r="G24" s="4">
        <f>IF(C24&gt;0,F24/C24,"")</f>
        <v>0.05</v>
      </c>
      <c r="H24" s="8">
        <f>IFERROR(INDEX(Items!$E$2:$E$138,MATCH(A24,Items!$A$2:$A$138,0)),"")</f>
        <v>0.1</v>
      </c>
      <c r="I24" s="8">
        <f>IFERROR(INDEX(Items!$F$2:$F$138,MATCH(A24,Items!$A$2:$A$138,0)),"")</f>
        <v>6.75</v>
      </c>
      <c r="J24" s="4">
        <f>IF(ISNUMBER(I24),I24-G24,"")</f>
        <v>6.7</v>
      </c>
      <c r="K24" s="4">
        <f>IF(ISNUMBER(H24),H24-G24,"")</f>
        <v>0.05</v>
      </c>
      <c r="L24" s="12">
        <f>IF(ISNUMBER(J24),J24*C24,"")</f>
        <v>1340</v>
      </c>
    </row>
    <row r="25" spans="1:12" x14ac:dyDescent="0.25">
      <c r="A25" s="2" t="s">
        <v>208</v>
      </c>
      <c r="B25" s="2" t="s">
        <v>394</v>
      </c>
      <c r="C25" s="6">
        <v>200</v>
      </c>
      <c r="D25" s="11">
        <f>ROUND(C25*0.5,0)</f>
        <v>100</v>
      </c>
      <c r="E25" s="2" t="s">
        <v>384</v>
      </c>
      <c r="F25" s="8">
        <f>SUMIFS('Recipe Ingredients'!$E$2:$E$185,'Recipe Ingredients'!$A$2:$A$185,A25)</f>
        <v>160</v>
      </c>
      <c r="G25" s="4">
        <f>IF(C25&gt;0,F25/C25,"")</f>
        <v>0.8</v>
      </c>
      <c r="H25" s="8">
        <f>IFERROR(INDEX(Items!$E$2:$E$138,MATCH(A25,Items!$A$2:$A$138,0)),"")</f>
        <v>2.91</v>
      </c>
      <c r="I25" s="8">
        <f>IFERROR(INDEX(Items!$F$2:$F$138,MATCH(A25,Items!$A$2:$A$138,0)),"")</f>
        <v>7.2</v>
      </c>
      <c r="J25" s="4">
        <f>IF(ISNUMBER(I25),I25-G25,"")</f>
        <v>6.4</v>
      </c>
      <c r="K25" s="4">
        <f>IF(ISNUMBER(H25),H25-G25,"")</f>
        <v>2.1100000000000003</v>
      </c>
      <c r="L25" s="12">
        <f>IF(ISNUMBER(J25),J25*C25,"")</f>
        <v>1280</v>
      </c>
    </row>
    <row r="26" spans="1:12" x14ac:dyDescent="0.25">
      <c r="A26" s="2" t="s">
        <v>211</v>
      </c>
      <c r="B26" s="2" t="s">
        <v>395</v>
      </c>
      <c r="C26" s="6">
        <v>250</v>
      </c>
      <c r="D26" s="11">
        <f>ROUND(C26*0.5,0)</f>
        <v>125</v>
      </c>
      <c r="E26" s="2" t="s">
        <v>381</v>
      </c>
      <c r="F26" s="8">
        <f>SUMIFS('Recipe Ingredients'!$E$2:$E$185,'Recipe Ingredients'!$A$2:$A$185,A26)</f>
        <v>32.5</v>
      </c>
      <c r="G26" s="4">
        <f>IF(C26&gt;0,F26/C26,"")</f>
        <v>0.13</v>
      </c>
      <c r="H26" s="8">
        <f>IFERROR(INDEX(Items!$E$2:$E$138,MATCH(A26,Items!$A$2:$A$138,0)),"")</f>
        <v>0.9</v>
      </c>
      <c r="I26" s="8">
        <f>IFERROR(INDEX(Items!$F$2:$F$138,MATCH(A26,Items!$A$2:$A$138,0)),"")</f>
        <v>3.9</v>
      </c>
      <c r="J26" s="4">
        <f>IF(ISNUMBER(I26),I26-G26,"")</f>
        <v>3.77</v>
      </c>
      <c r="K26" s="4">
        <f>IF(ISNUMBER(H26),H26-G26,"")</f>
        <v>0.77</v>
      </c>
      <c r="L26" s="12">
        <f>IF(ISNUMBER(J26),J26*C26,"")</f>
        <v>942.5</v>
      </c>
    </row>
    <row r="27" spans="1:12" x14ac:dyDescent="0.25">
      <c r="A27" s="2" t="s">
        <v>214</v>
      </c>
      <c r="B27" s="2" t="s">
        <v>396</v>
      </c>
      <c r="C27" s="6">
        <v>250</v>
      </c>
      <c r="D27" s="11">
        <f>ROUND(C27*0.5,0)</f>
        <v>125</v>
      </c>
      <c r="E27" s="2" t="s">
        <v>381</v>
      </c>
      <c r="F27" s="8">
        <f>SUMIFS('Recipe Ingredients'!$E$2:$E$185,'Recipe Ingredients'!$A$2:$A$185,A27)</f>
        <v>32.5</v>
      </c>
      <c r="G27" s="4">
        <f>IF(C27&gt;0,F27/C27,"")</f>
        <v>0.13</v>
      </c>
      <c r="H27" s="8">
        <f>IFERROR(INDEX(Items!$E$2:$E$138,MATCH(A27,Items!$A$2:$A$138,0)),"")</f>
        <v>0.9</v>
      </c>
      <c r="I27" s="8">
        <f>IFERROR(INDEX(Items!$F$2:$F$138,MATCH(A27,Items!$A$2:$A$138,0)),"")</f>
        <v>3.9</v>
      </c>
      <c r="J27" s="4">
        <f>IF(ISNUMBER(I27),I27-G27,"")</f>
        <v>3.77</v>
      </c>
      <c r="K27" s="4">
        <f>IF(ISNUMBER(H27),H27-G27,"")</f>
        <v>0.77</v>
      </c>
      <c r="L27" s="12">
        <f>IF(ISNUMBER(J27),J27*C27,"")</f>
        <v>942.5</v>
      </c>
    </row>
    <row r="28" spans="1:12" x14ac:dyDescent="0.25">
      <c r="A28" s="2" t="s">
        <v>216</v>
      </c>
      <c r="B28" s="2" t="s">
        <v>397</v>
      </c>
      <c r="C28" s="6">
        <v>200</v>
      </c>
      <c r="D28" s="11">
        <f>ROUND(C28*0.5,0)</f>
        <v>100</v>
      </c>
      <c r="E28" s="2" t="s">
        <v>398</v>
      </c>
      <c r="F28" s="8">
        <f>SUMIFS('Recipe Ingredients'!$E$2:$E$185,'Recipe Ingredients'!$A$2:$A$185,A28)</f>
        <v>30</v>
      </c>
      <c r="G28" s="4">
        <f>IF(C28&gt;0,F28/C28,"")</f>
        <v>0.15</v>
      </c>
      <c r="H28" s="8">
        <f>IFERROR(INDEX(Items!$E$2:$E$138,MATCH(A28,Items!$A$2:$A$138,0)),"")</f>
        <v>2.1</v>
      </c>
      <c r="I28" s="8">
        <f>IFERROR(INDEX(Items!$F$2:$F$138,MATCH(A28,Items!$A$2:$A$138,0)),"")</f>
        <v>5.2</v>
      </c>
      <c r="J28" s="4">
        <f>IF(ISNUMBER(I28),I28-G28,"")</f>
        <v>5.05</v>
      </c>
      <c r="K28" s="4">
        <f>IF(ISNUMBER(H28),H28-G28,"")</f>
        <v>1.9500000000000002</v>
      </c>
      <c r="L28" s="12">
        <f>IF(ISNUMBER(J28),J28*C28,"")</f>
        <v>1010</v>
      </c>
    </row>
    <row r="29" spans="1:12" x14ac:dyDescent="0.25">
      <c r="A29" s="2" t="s">
        <v>218</v>
      </c>
      <c r="B29" s="2" t="s">
        <v>399</v>
      </c>
      <c r="C29" s="6">
        <v>200</v>
      </c>
      <c r="D29" s="11">
        <f>ROUND(C29*0.5,0)</f>
        <v>100</v>
      </c>
      <c r="E29" s="2" t="s">
        <v>384</v>
      </c>
      <c r="F29" s="8">
        <f>SUMIFS('Recipe Ingredients'!$E$2:$E$185,'Recipe Ingredients'!$A$2:$A$185,A29)</f>
        <v>120.00000000000001</v>
      </c>
      <c r="G29" s="4">
        <f>IF(C29&gt;0,F29/C29,"")</f>
        <v>0.6000000000000001</v>
      </c>
      <c r="H29" s="8">
        <f>IFERROR(INDEX(Items!$E$2:$E$138,MATCH(A29,Items!$A$2:$A$138,0)),"")</f>
        <v>1.52</v>
      </c>
      <c r="I29" s="8">
        <f>IFERROR(INDEX(Items!$F$2:$F$138,MATCH(A29,Items!$A$2:$A$138,0)),"")</f>
        <v>3.8</v>
      </c>
      <c r="J29" s="4">
        <f>IF(ISNUMBER(I29),I29-G29,"")</f>
        <v>3.1999999999999997</v>
      </c>
      <c r="K29" s="4">
        <f>IF(ISNUMBER(H29),H29-G29,"")</f>
        <v>0.9199999999999999</v>
      </c>
      <c r="L29" s="12">
        <f>IF(ISNUMBER(J29),J29*C29,"")</f>
        <v>640</v>
      </c>
    </row>
    <row r="30" spans="1:12" x14ac:dyDescent="0.25">
      <c r="A30" s="2" t="s">
        <v>220</v>
      </c>
      <c r="B30" s="2" t="s">
        <v>400</v>
      </c>
      <c r="C30" s="6">
        <v>250</v>
      </c>
      <c r="D30" s="11">
        <f>ROUND(C30*0.5,0)</f>
        <v>125</v>
      </c>
      <c r="E30" s="2" t="s">
        <v>381</v>
      </c>
      <c r="F30" s="8">
        <f>SUMIFS('Recipe Ingredients'!$E$2:$E$185,'Recipe Ingredients'!$A$2:$A$185,A30)</f>
        <v>42.5</v>
      </c>
      <c r="G30" s="4">
        <f>IF(C30&gt;0,F30/C30,"")</f>
        <v>0.17</v>
      </c>
      <c r="H30" s="8">
        <f>IFERROR(INDEX(Items!$E$2:$E$138,MATCH(A30,Items!$A$2:$A$138,0)),"")</f>
        <v>0.9</v>
      </c>
      <c r="I30" s="8">
        <f>IFERROR(INDEX(Items!$F$2:$F$138,MATCH(A30,Items!$A$2:$A$138,0)),"")</f>
        <v>3.9</v>
      </c>
      <c r="J30" s="4">
        <f>IF(ISNUMBER(I30),I30-G30,"")</f>
        <v>3.73</v>
      </c>
      <c r="K30" s="4">
        <f>IF(ISNUMBER(H30),H30-G30,"")</f>
        <v>0.73</v>
      </c>
      <c r="L30" s="12">
        <f>IF(ISNUMBER(J30),J30*C30,"")</f>
        <v>932.5</v>
      </c>
    </row>
    <row r="31" spans="1:12" x14ac:dyDescent="0.25">
      <c r="A31" s="2" t="s">
        <v>223</v>
      </c>
      <c r="B31" s="2" t="s">
        <v>401</v>
      </c>
      <c r="C31" s="6">
        <v>100</v>
      </c>
      <c r="D31" s="11">
        <f>ROUND(C31*0.5,0)</f>
        <v>50</v>
      </c>
      <c r="E31" s="2" t="s">
        <v>374</v>
      </c>
      <c r="F31" s="8">
        <f>SUMIFS('Recipe Ingredients'!$E$2:$E$185,'Recipe Ingredients'!$A$2:$A$185,A31)</f>
        <v>151</v>
      </c>
      <c r="G31" s="4">
        <f>IF(C31&gt;0,F31/C31,"")</f>
        <v>1.51</v>
      </c>
      <c r="H31" s="8">
        <f>IFERROR(INDEX(Items!$E$2:$E$138,MATCH(A31,Items!$A$2:$A$138,0)),"")</f>
        <v>6</v>
      </c>
      <c r="I31" s="8">
        <f>IFERROR(INDEX(Items!$F$2:$F$138,MATCH(A31,Items!$A$2:$A$138,0)),"")</f>
        <v>25</v>
      </c>
      <c r="J31" s="4">
        <f>IF(ISNUMBER(I31),I31-G31,"")</f>
        <v>23.49</v>
      </c>
      <c r="K31" s="4">
        <f>IF(ISNUMBER(H31),H31-G31,"")</f>
        <v>4.49</v>
      </c>
      <c r="L31" s="12">
        <f>IF(ISNUMBER(J31),J31*C31,"")</f>
        <v>2349</v>
      </c>
    </row>
    <row r="32" spans="1:12" x14ac:dyDescent="0.25">
      <c r="A32" s="2" t="s">
        <v>226</v>
      </c>
      <c r="B32" s="2" t="s">
        <v>402</v>
      </c>
      <c r="C32" s="6">
        <v>100</v>
      </c>
      <c r="D32" s="11">
        <f>ROUND(C32*0.5,0)</f>
        <v>50</v>
      </c>
      <c r="E32" s="2" t="s">
        <v>374</v>
      </c>
      <c r="F32" s="8">
        <f>SUMIFS('Recipe Ingredients'!$E$2:$E$185,'Recipe Ingredients'!$A$2:$A$185,A32)</f>
        <v>301</v>
      </c>
      <c r="G32" s="4">
        <f>IF(C32&gt;0,F32/C32,"")</f>
        <v>3.01</v>
      </c>
      <c r="H32" s="8">
        <f>IFERROR(INDEX(Items!$E$2:$E$138,MATCH(A32,Items!$A$2:$A$138,0)),"")</f>
        <v>10</v>
      </c>
      <c r="I32" s="8">
        <f>IFERROR(INDEX(Items!$F$2:$F$138,MATCH(A32,Items!$A$2:$A$138,0)),"")</f>
        <v>40</v>
      </c>
      <c r="J32" s="4">
        <f>IF(ISNUMBER(I32),I32-G32,"")</f>
        <v>36.99</v>
      </c>
      <c r="K32" s="4">
        <f>IF(ISNUMBER(H32),H32-G32,"")</f>
        <v>6.99</v>
      </c>
      <c r="L32" s="12">
        <f>IF(ISNUMBER(J32),J32*C32,"")</f>
        <v>3699</v>
      </c>
    </row>
    <row r="33" spans="1:12" x14ac:dyDescent="0.25">
      <c r="A33" s="2" t="s">
        <v>229</v>
      </c>
      <c r="B33" s="2" t="s">
        <v>403</v>
      </c>
      <c r="C33" s="6">
        <v>200</v>
      </c>
      <c r="D33" s="11">
        <f>ROUND(C33*0.5,0)</f>
        <v>100</v>
      </c>
      <c r="E33" s="2" t="s">
        <v>384</v>
      </c>
      <c r="F33" s="8">
        <f>SUMIFS('Recipe Ingredients'!$E$2:$E$185,'Recipe Ingredients'!$A$2:$A$185,A33)</f>
        <v>94.5</v>
      </c>
      <c r="G33" s="4">
        <f>IF(C33&gt;0,F33/C33,"")</f>
        <v>0.4725</v>
      </c>
      <c r="H33" s="8">
        <f>IFERROR(INDEX(Items!$E$2:$E$138,MATCH(A33,Items!$A$2:$A$138,0)),"")</f>
        <v>2.22</v>
      </c>
      <c r="I33" s="8">
        <f>IFERROR(INDEX(Items!$F$2:$F$138,MATCH(A33,Items!$A$2:$A$138,0)),"")</f>
        <v>6.25</v>
      </c>
      <c r="J33" s="4">
        <f>IF(ISNUMBER(I33),I33-G33,"")</f>
        <v>5.7775</v>
      </c>
      <c r="K33" s="4">
        <f>IF(ISNUMBER(H33),H33-G33,"")</f>
        <v>1.7475000000000003</v>
      </c>
      <c r="L33" s="12">
        <f>IF(ISNUMBER(J33),J33*C33,"")</f>
        <v>1155.5</v>
      </c>
    </row>
    <row r="34" spans="1:12" x14ac:dyDescent="0.25">
      <c r="A34" s="2" t="s">
        <v>231</v>
      </c>
      <c r="B34" s="2" t="s">
        <v>404</v>
      </c>
      <c r="C34" s="6">
        <v>200</v>
      </c>
      <c r="D34" s="11">
        <f>ROUND(C34*0.5,0)</f>
        <v>100</v>
      </c>
      <c r="E34" s="2" t="s">
        <v>384</v>
      </c>
      <c r="F34" s="8">
        <f>SUMIFS('Recipe Ingredients'!$E$2:$E$185,'Recipe Ingredients'!$A$2:$A$185,A34)</f>
        <v>219</v>
      </c>
      <c r="G34" s="4">
        <f>IF(C34&gt;0,F34/C34,"")</f>
        <v>1.095</v>
      </c>
      <c r="H34" s="8">
        <f>IFERROR(INDEX(Items!$E$2:$E$138,MATCH(A34,Items!$A$2:$A$138,0)),"")</f>
        <v>2.5</v>
      </c>
      <c r="I34" s="8">
        <f>IFERROR(INDEX(Items!$F$2:$F$138,MATCH(A34,Items!$A$2:$A$138,0)),"")</f>
        <v>8</v>
      </c>
      <c r="J34" s="4">
        <f>IF(ISNUMBER(I34),I34-G34,"")</f>
        <v>6.905</v>
      </c>
      <c r="K34" s="4">
        <f>IF(ISNUMBER(H34),H34-G34,"")</f>
        <v>1.405</v>
      </c>
      <c r="L34" s="12">
        <f>IF(ISNUMBER(J34),J34*C34,"")</f>
        <v>1381</v>
      </c>
    </row>
    <row r="35" spans="1:12" x14ac:dyDescent="0.25">
      <c r="A35" s="2" t="s">
        <v>234</v>
      </c>
      <c r="B35" s="2" t="s">
        <v>405</v>
      </c>
      <c r="C35" s="6">
        <v>200</v>
      </c>
      <c r="D35" s="11">
        <f>ROUND(C35*0.5,0)</f>
        <v>100</v>
      </c>
      <c r="E35" s="2" t="s">
        <v>384</v>
      </c>
      <c r="F35" s="8">
        <f>SUMIFS('Recipe Ingredients'!$E$2:$E$185,'Recipe Ingredients'!$A$2:$A$185,A35)</f>
        <v>80</v>
      </c>
      <c r="G35" s="4">
        <f>IF(C35&gt;0,F35/C35,"")</f>
        <v>0.4</v>
      </c>
      <c r="H35" s="8">
        <f>IFERROR(INDEX(Items!$E$2:$E$138,MATCH(A35,Items!$A$2:$A$138,0)),"")</f>
        <v>1.1</v>
      </c>
      <c r="I35" s="8">
        <f>IFERROR(INDEX(Items!$F$2:$F$138,MATCH(A35,Items!$A$2:$A$138,0)),"")</f>
        <v>6</v>
      </c>
      <c r="J35" s="4">
        <f>IF(ISNUMBER(I35),I35-G35,"")</f>
        <v>5.6</v>
      </c>
      <c r="K35" s="4">
        <f>IF(ISNUMBER(H35),H35-G35,"")</f>
        <v>0.7000000000000001</v>
      </c>
      <c r="L35" s="12">
        <f>IF(ISNUMBER(J35),J35*C35,"")</f>
        <v>1120</v>
      </c>
    </row>
    <row r="36" spans="1:12" x14ac:dyDescent="0.25">
      <c r="A36" s="2" t="s">
        <v>236</v>
      </c>
      <c r="B36" s="2" t="s">
        <v>406</v>
      </c>
      <c r="C36" s="6">
        <v>100</v>
      </c>
      <c r="D36" s="11">
        <f>ROUND(C36*0.5,0)</f>
        <v>50</v>
      </c>
      <c r="E36" s="2" t="s">
        <v>388</v>
      </c>
      <c r="F36" s="8">
        <f>SUMIFS('Recipe Ingredients'!$E$2:$E$185,'Recipe Ingredients'!$A$2:$A$185,A36)</f>
        <v>125</v>
      </c>
      <c r="G36" s="4">
        <f>IF(C36&gt;0,F36/C36,"")</f>
        <v>1.25</v>
      </c>
      <c r="H36" s="8">
        <f>IFERROR(INDEX(Items!$E$2:$E$138,MATCH(A36,Items!$A$2:$A$138,0)),"")</f>
        <v>5</v>
      </c>
      <c r="I36" s="8">
        <f>IFERROR(INDEX(Items!$F$2:$F$138,MATCH(A36,Items!$A$2:$A$138,0)),"")</f>
        <v>18</v>
      </c>
      <c r="J36" s="4">
        <f>IF(ISNUMBER(I36),I36-G36,"")</f>
        <v>16.75</v>
      </c>
      <c r="K36" s="4">
        <f>IF(ISNUMBER(H36),H36-G36,"")</f>
        <v>3.75</v>
      </c>
      <c r="L36" s="12">
        <f>IF(ISNUMBER(J36),J36*C36,"")</f>
        <v>1675</v>
      </c>
    </row>
    <row r="37" spans="1:12" x14ac:dyDescent="0.25">
      <c r="A37" s="2" t="s">
        <v>239</v>
      </c>
      <c r="B37" s="2" t="s">
        <v>407</v>
      </c>
      <c r="C37" s="6">
        <v>100</v>
      </c>
      <c r="D37" s="11">
        <f>ROUND(C37*0.5,0)</f>
        <v>50</v>
      </c>
      <c r="E37" s="2" t="s">
        <v>388</v>
      </c>
      <c r="F37" s="8">
        <f>SUMIFS('Recipe Ingredients'!$E$2:$E$185,'Recipe Ingredients'!$A$2:$A$185,A37)</f>
        <v>201</v>
      </c>
      <c r="G37" s="4">
        <f>IF(C37&gt;0,F37/C37,"")</f>
        <v>2.01</v>
      </c>
      <c r="H37" s="8">
        <f>IFERROR(INDEX(Items!$E$2:$E$138,MATCH(A37,Items!$A$2:$A$138,0)),"")</f>
        <v>7</v>
      </c>
      <c r="I37" s="8">
        <f>IFERROR(INDEX(Items!$F$2:$F$138,MATCH(A37,Items!$A$2:$A$138,0)),"")</f>
        <v>32</v>
      </c>
      <c r="J37" s="4">
        <f>IF(ISNUMBER(I37),I37-G37,"")</f>
        <v>29.990000000000002</v>
      </c>
      <c r="K37" s="4">
        <f>IF(ISNUMBER(H37),H37-G37,"")</f>
        <v>4.99</v>
      </c>
      <c r="L37" s="12">
        <f>IF(ISNUMBER(J37),J37*C37,"")</f>
        <v>2999</v>
      </c>
    </row>
    <row r="38" spans="1:12" x14ac:dyDescent="0.25">
      <c r="A38" s="2" t="s">
        <v>241</v>
      </c>
      <c r="B38" s="2" t="s">
        <v>408</v>
      </c>
      <c r="C38" s="6">
        <v>150</v>
      </c>
      <c r="D38" s="11">
        <f>ROUND(C38*0.5,0)</f>
        <v>75</v>
      </c>
      <c r="E38" s="2" t="s">
        <v>381</v>
      </c>
      <c r="F38" s="8">
        <f>SUMIFS('Recipe Ingredients'!$E$2:$E$185,'Recipe Ingredients'!$A$2:$A$185,A38)</f>
        <v>376.5</v>
      </c>
      <c r="G38" s="4">
        <f>IF(C38&gt;0,F38/C38,"")</f>
        <v>2.51</v>
      </c>
      <c r="H38" s="8">
        <f>IFERROR(INDEX(Items!$E$2:$E$138,MATCH(A38,Items!$A$2:$A$138,0)),"")</f>
        <v>9</v>
      </c>
      <c r="I38" s="8">
        <f>IFERROR(INDEX(Items!$F$2:$F$138,MATCH(A38,Items!$A$2:$A$138,0)),"")</f>
        <v>19</v>
      </c>
      <c r="J38" s="4">
        <f>IF(ISNUMBER(I38),I38-G38,"")</f>
        <v>16.490000000000002</v>
      </c>
      <c r="K38" s="4">
        <f>IF(ISNUMBER(H38),H38-G38,"")</f>
        <v>6.49</v>
      </c>
      <c r="L38" s="12">
        <f>IF(ISNUMBER(J38),J38*C38,"")</f>
        <v>2473.5000000000005</v>
      </c>
    </row>
    <row r="39" spans="1:12" x14ac:dyDescent="0.25">
      <c r="A39" s="2" t="s">
        <v>244</v>
      </c>
      <c r="B39" s="2" t="s">
        <v>409</v>
      </c>
      <c r="C39" s="6">
        <v>200</v>
      </c>
      <c r="D39" s="11">
        <f>ROUND(C39*0.5,0)</f>
        <v>100</v>
      </c>
      <c r="E39" s="2" t="s">
        <v>398</v>
      </c>
      <c r="F39" s="8">
        <f>SUMIFS('Recipe Ingredients'!$E$2:$E$185,'Recipe Ingredients'!$A$2:$A$185,A39)</f>
        <v>192.5</v>
      </c>
      <c r="G39" s="4">
        <f>IF(C39&gt;0,F39/C39,"")</f>
        <v>0.9625</v>
      </c>
      <c r="H39" s="8">
        <f>IFERROR(INDEX(Items!$E$2:$E$138,MATCH(A39,Items!$A$2:$A$138,0)),"")</f>
        <v>4.45</v>
      </c>
      <c r="I39" s="8">
        <f>IFERROR(INDEX(Items!$F$2:$F$138,MATCH(A39,Items!$A$2:$A$138,0)),"")</f>
        <v>11.65</v>
      </c>
      <c r="J39" s="4">
        <f>IF(ISNUMBER(I39),I39-G39,"")</f>
        <v>10.6875</v>
      </c>
      <c r="K39" s="4">
        <f>IF(ISNUMBER(H39),H39-G39,"")</f>
        <v>3.4875000000000003</v>
      </c>
      <c r="L39" s="12">
        <f>IF(ISNUMBER(J39),J39*C39,"")</f>
        <v>2137.5</v>
      </c>
    </row>
    <row r="40" spans="1:12" x14ac:dyDescent="0.25">
      <c r="A40" s="2" t="s">
        <v>246</v>
      </c>
      <c r="B40" s="2" t="s">
        <v>410</v>
      </c>
      <c r="C40" s="6">
        <v>200</v>
      </c>
      <c r="D40" s="11">
        <f>ROUND(C40*0.5,0)</f>
        <v>100</v>
      </c>
      <c r="E40" s="2" t="s">
        <v>393</v>
      </c>
      <c r="F40" s="8">
        <f>SUMIFS('Recipe Ingredients'!$E$2:$E$185,'Recipe Ingredients'!$A$2:$A$185,A40)</f>
        <v>20</v>
      </c>
      <c r="G40" s="4">
        <f>IF(C40&gt;0,F40/C40,"")</f>
        <v>0.1</v>
      </c>
      <c r="H40" s="8">
        <f>IFERROR(INDEX(Items!$E$2:$E$138,MATCH(A40,Items!$A$2:$A$138,0)),"")</f>
        <v>4.33</v>
      </c>
      <c r="I40" s="8">
        <f>IFERROR(INDEX(Items!$F$2:$F$138,MATCH(A40,Items!$A$2:$A$138,0)),"")</f>
        <v>11.5</v>
      </c>
      <c r="J40" s="4">
        <f>IF(ISNUMBER(I40),I40-G40,"")</f>
        <v>11.4</v>
      </c>
      <c r="K40" s="4">
        <f>IF(ISNUMBER(H40),H40-G40,"")</f>
        <v>4.23</v>
      </c>
      <c r="L40" s="12">
        <f>IF(ISNUMBER(J40),J40*C40,"")</f>
        <v>2280</v>
      </c>
    </row>
    <row r="41" spans="1:12" x14ac:dyDescent="0.25">
      <c r="A41" s="2" t="s">
        <v>249</v>
      </c>
      <c r="B41" s="2" t="s">
        <v>411</v>
      </c>
      <c r="C41" s="6">
        <v>60</v>
      </c>
      <c r="D41" s="11">
        <f>ROUND(C41*0.5,0)</f>
        <v>30</v>
      </c>
      <c r="E41" s="2" t="s">
        <v>412</v>
      </c>
      <c r="F41" s="8">
        <f>SUMIFS('Recipe Ingredients'!$E$2:$E$185,'Recipe Ingredients'!$A$2:$A$185,A41)</f>
        <v>2436</v>
      </c>
      <c r="G41" s="4">
        <f>IF(C41&gt;0,F41/C41,"")</f>
        <v>40.6</v>
      </c>
      <c r="H41" s="8">
        <f>IFERROR(INDEX(Items!$E$2:$E$138,MATCH(A41,Items!$A$2:$A$138,0)),"")</f>
        <v>91</v>
      </c>
      <c r="I41" s="8">
        <f>IFERROR(INDEX(Items!$F$2:$F$138,MATCH(A41,Items!$A$2:$A$138,0)),"")</f>
        <v>160</v>
      </c>
      <c r="J41" s="4">
        <f>IF(ISNUMBER(I41),I41-G41,"")</f>
        <v>119.4</v>
      </c>
      <c r="K41" s="4">
        <f>IF(ISNUMBER(H41),H41-G41,"")</f>
        <v>50.4</v>
      </c>
      <c r="L41" s="12">
        <f>IF(ISNUMBER(J41),J41*C41,"")</f>
        <v>7164</v>
      </c>
    </row>
    <row r="42" spans="1:12" x14ac:dyDescent="0.25">
      <c r="A42" s="2" t="s">
        <v>252</v>
      </c>
      <c r="B42" s="2" t="s">
        <v>413</v>
      </c>
      <c r="C42" s="6">
        <v>30</v>
      </c>
      <c r="D42" s="11">
        <f>ROUND(C42*0.5,0)</f>
        <v>15</v>
      </c>
      <c r="E42" s="2" t="s">
        <v>412</v>
      </c>
      <c r="F42" s="8">
        <f>SUMIFS('Recipe Ingredients'!$E$2:$E$185,'Recipe Ingredients'!$A$2:$A$185,A42)</f>
        <v>13518</v>
      </c>
      <c r="G42" s="4">
        <f>IF(C42&gt;0,F42/C42,"")</f>
        <v>450.6</v>
      </c>
      <c r="H42" s="8">
        <f>IFERROR(INDEX(Items!$E$2:$E$138,MATCH(A42,Items!$A$2:$A$138,0)),"")</f>
        <v>768</v>
      </c>
      <c r="I42" s="8">
        <f>IFERROR(INDEX(Items!$F$2:$F$138,MATCH(A42,Items!$A$2:$A$138,0)),"")</f>
        <v>1270</v>
      </c>
      <c r="J42" s="4">
        <f>IF(ISNUMBER(I42),I42-G42,"")</f>
        <v>819.4</v>
      </c>
      <c r="K42" s="4">
        <f>IF(ISNUMBER(H42),H42-G42,"")</f>
        <v>317.4</v>
      </c>
      <c r="L42" s="12">
        <f>IF(ISNUMBER(J42),J42*C42,"")</f>
        <v>24582</v>
      </c>
    </row>
    <row r="43" spans="1:12" x14ac:dyDescent="0.25">
      <c r="A43" s="2" t="s">
        <v>254</v>
      </c>
      <c r="B43" s="2" t="s">
        <v>414</v>
      </c>
      <c r="C43" s="6">
        <v>100</v>
      </c>
      <c r="D43" s="11">
        <f>ROUND(C43*0.5,0)</f>
        <v>50</v>
      </c>
      <c r="E43" s="2" t="s">
        <v>388</v>
      </c>
      <c r="F43" s="8">
        <f>SUMIFS('Recipe Ingredients'!$E$2:$E$185,'Recipe Ingredients'!$A$2:$A$185,A43)</f>
        <v>1212.5</v>
      </c>
      <c r="G43" s="4">
        <f>IF(C43&gt;0,F43/C43,"")</f>
        <v>12.125</v>
      </c>
      <c r="H43" s="8">
        <f>IFERROR(INDEX(Items!$E$2:$E$138,MATCH(A43,Items!$A$2:$A$138,0)),"")</f>
        <v>45</v>
      </c>
      <c r="I43" s="8">
        <f>IFERROR(INDEX(Items!$F$2:$F$138,MATCH(A43,Items!$A$2:$A$138,0)),"")</f>
        <v>90</v>
      </c>
      <c r="J43" s="4">
        <f>IF(ISNUMBER(I43),I43-G43,"")</f>
        <v>77.875</v>
      </c>
      <c r="K43" s="4">
        <f>IF(ISNUMBER(H43),H43-G43,"")</f>
        <v>32.875</v>
      </c>
      <c r="L43" s="12">
        <f>IF(ISNUMBER(J43),J43*C43,"")</f>
        <v>7787.5</v>
      </c>
    </row>
    <row r="44" spans="1:12" x14ac:dyDescent="0.25">
      <c r="A44" s="2" t="s">
        <v>257</v>
      </c>
      <c r="B44" s="2" t="s">
        <v>415</v>
      </c>
      <c r="C44" s="6">
        <v>50</v>
      </c>
      <c r="D44" s="11">
        <f>ROUND(C44*0.5,0)</f>
        <v>25</v>
      </c>
      <c r="E44" s="2" t="s">
        <v>381</v>
      </c>
      <c r="F44" s="8">
        <f>SUMIFS('Recipe Ingredients'!$E$2:$E$185,'Recipe Ingredients'!$A$2:$A$185,A44)</f>
        <v>26</v>
      </c>
      <c r="G44" s="4">
        <f>IF(C44&gt;0,F44/C44,"")</f>
        <v>0.52</v>
      </c>
      <c r="H44" s="8">
        <f>IFERROR(INDEX(Items!$E$2:$E$138,MATCH(A44,Items!$A$2:$A$138,0)),"")</f>
        <v>4</v>
      </c>
      <c r="I44" s="8">
        <f>IFERROR(INDEX(Items!$F$2:$F$138,MATCH(A44,Items!$A$2:$A$138,0)),"")</f>
        <v>16</v>
      </c>
      <c r="J44" s="4">
        <f>IF(ISNUMBER(I44),I44-G44,"")</f>
        <v>15.48</v>
      </c>
      <c r="K44" s="4">
        <f>IF(ISNUMBER(H44),H44-G44,"")</f>
        <v>3.48</v>
      </c>
      <c r="L44" s="12">
        <f>IF(ISNUMBER(J44),J44*C44,"")</f>
        <v>774</v>
      </c>
    </row>
    <row r="45" spans="1:12" x14ac:dyDescent="0.25">
      <c r="A45" s="2" t="s">
        <v>259</v>
      </c>
      <c r="B45" s="2" t="s">
        <v>416</v>
      </c>
      <c r="C45" s="6">
        <v>50</v>
      </c>
      <c r="D45" s="11">
        <f>ROUND(C45*0.5,0)</f>
        <v>25</v>
      </c>
      <c r="E45" s="2" t="s">
        <v>381</v>
      </c>
      <c r="F45" s="8">
        <f>SUMIFS('Recipe Ingredients'!$E$2:$E$185,'Recipe Ingredients'!$A$2:$A$185,A45)</f>
        <v>33</v>
      </c>
      <c r="G45" s="4">
        <f>IF(C45&gt;0,F45/C45,"")</f>
        <v>0.66</v>
      </c>
      <c r="H45" s="8">
        <f>IFERROR(INDEX(Items!$E$2:$E$138,MATCH(A45,Items!$A$2:$A$138,0)),"")</f>
        <v>5</v>
      </c>
      <c r="I45" s="8">
        <f>IFERROR(INDEX(Items!$F$2:$F$138,MATCH(A45,Items!$A$2:$A$138,0)),"")</f>
        <v>20</v>
      </c>
      <c r="J45" s="4">
        <f>IF(ISNUMBER(I45),I45-G45,"")</f>
        <v>19.34</v>
      </c>
      <c r="K45" s="4">
        <f>IF(ISNUMBER(H45),H45-G45,"")</f>
        <v>4.34</v>
      </c>
      <c r="L45" s="12">
        <f>IF(ISNUMBER(J45),J45*C45,"")</f>
        <v>967</v>
      </c>
    </row>
    <row r="46" spans="1:12" x14ac:dyDescent="0.25">
      <c r="A46" s="2" t="s">
        <v>262</v>
      </c>
      <c r="B46" s="2" t="s">
        <v>417</v>
      </c>
      <c r="C46" s="6">
        <v>100</v>
      </c>
      <c r="D46" s="11">
        <f>ROUND(C46*0.5,0)</f>
        <v>50</v>
      </c>
      <c r="E46" s="2" t="s">
        <v>388</v>
      </c>
      <c r="F46" s="8">
        <f>SUMIFS('Recipe Ingredients'!$E$2:$E$185,'Recipe Ingredients'!$A$2:$A$185,A46)</f>
        <v>318.75</v>
      </c>
      <c r="G46" s="4">
        <f>IF(C46&gt;0,F46/C46,"")</f>
        <v>3.1875</v>
      </c>
      <c r="H46" s="8">
        <f>IFERROR(INDEX(Items!$E$2:$E$138,MATCH(A46,Items!$A$2:$A$138,0)),"")</f>
        <v>10</v>
      </c>
      <c r="I46" s="8">
        <f>IFERROR(INDEX(Items!$F$2:$F$138,MATCH(A46,Items!$A$2:$A$138,0)),"")</f>
        <v>25</v>
      </c>
      <c r="J46" s="4">
        <f>IF(ISNUMBER(I46),I46-G46,"")</f>
        <v>21.8125</v>
      </c>
      <c r="K46" s="4">
        <f>IF(ISNUMBER(H46),H46-G46,"")</f>
        <v>6.8125</v>
      </c>
      <c r="L46" s="12">
        <f>IF(ISNUMBER(J46),J46*C46,"")</f>
        <v>2181.25</v>
      </c>
    </row>
    <row r="47" spans="1:12" x14ac:dyDescent="0.25">
      <c r="A47" s="2" t="s">
        <v>264</v>
      </c>
      <c r="B47" s="2" t="s">
        <v>418</v>
      </c>
      <c r="C47" s="6">
        <v>60</v>
      </c>
      <c r="D47" s="11">
        <f>ROUND(C47*0.5,0)</f>
        <v>30</v>
      </c>
      <c r="E47" s="2" t="s">
        <v>371</v>
      </c>
      <c r="F47" s="8">
        <f>SUMIFS('Recipe Ingredients'!$E$2:$E$185,'Recipe Ingredients'!$A$2:$A$185,A47)</f>
        <v>2966</v>
      </c>
      <c r="G47" s="4">
        <f>IF(C47&gt;0,F47/C47,"")</f>
        <v>49.43333333333333</v>
      </c>
      <c r="H47" s="8">
        <f>IFERROR(INDEX(Items!$E$2:$E$138,MATCH(A47,Items!$A$2:$A$138,0)),"")</f>
        <v>79</v>
      </c>
      <c r="I47" s="8">
        <f>IFERROR(INDEX(Items!$F$2:$F$138,MATCH(A47,Items!$A$2:$A$138,0)),"")</f>
        <v>159</v>
      </c>
      <c r="J47" s="4">
        <f>IF(ISNUMBER(I47),I47-G47,"")</f>
        <v>109.56666666666666</v>
      </c>
      <c r="K47" s="4">
        <f>IF(ISNUMBER(H47),H47-G47,"")</f>
        <v>29.56666666666667</v>
      </c>
      <c r="L47" s="12">
        <f>IF(ISNUMBER(J47),J47*C47,"")</f>
        <v>6574</v>
      </c>
    </row>
    <row r="48" spans="1:12" x14ac:dyDescent="0.25">
      <c r="A48" s="2" t="s">
        <v>267</v>
      </c>
      <c r="B48" s="2" t="s">
        <v>417</v>
      </c>
      <c r="C48" s="6">
        <v>100</v>
      </c>
      <c r="D48" s="11">
        <f>ROUND(C48*0.5,0)</f>
        <v>50</v>
      </c>
      <c r="E48" s="2" t="s">
        <v>388</v>
      </c>
      <c r="F48" s="8">
        <f>SUMIFS('Recipe Ingredients'!$E$2:$E$185,'Recipe Ingredients'!$A$2:$A$185,A48)</f>
        <v>318.75</v>
      </c>
      <c r="G48" s="4">
        <f>IF(C48&gt;0,F48/C48,"")</f>
        <v>3.1875</v>
      </c>
      <c r="H48" s="8">
        <f>IFERROR(INDEX(Items!$E$2:$E$138,MATCH(A48,Items!$A$2:$A$138,0)),"")</f>
        <v>11.5</v>
      </c>
      <c r="I48" s="8">
        <f>IFERROR(INDEX(Items!$F$2:$F$138,MATCH(A48,Items!$A$2:$A$138,0)),"")</f>
        <v>28</v>
      </c>
      <c r="J48" s="4">
        <f>IF(ISNUMBER(I48),I48-G48,"")</f>
        <v>24.8125</v>
      </c>
      <c r="K48" s="4">
        <f>IF(ISNUMBER(H48),H48-G48,"")</f>
        <v>8.3125</v>
      </c>
      <c r="L48" s="12">
        <f>IF(ISNUMBER(J48),J48*C48,"")</f>
        <v>2481.25</v>
      </c>
    </row>
    <row r="49" spans="1:12" x14ac:dyDescent="0.25">
      <c r="A49" s="2" t="s">
        <v>269</v>
      </c>
      <c r="B49" s="2" t="s">
        <v>419</v>
      </c>
      <c r="C49" s="6">
        <v>100</v>
      </c>
      <c r="D49" s="11">
        <f>ROUND(C49*0.5,0)</f>
        <v>50</v>
      </c>
      <c r="E49" s="2" t="s">
        <v>388</v>
      </c>
      <c r="F49" s="8">
        <f>SUMIFS('Recipe Ingredients'!$E$2:$E$185,'Recipe Ingredients'!$A$2:$A$185,A49)</f>
        <v>60</v>
      </c>
      <c r="G49" s="4">
        <f>IF(C49&gt;0,F49/C49,"")</f>
        <v>0.6</v>
      </c>
      <c r="H49" s="8">
        <f>IFERROR(INDEX(Items!$E$2:$E$138,MATCH(A49,Items!$A$2:$A$138,0)),"")</f>
        <v>3.2</v>
      </c>
      <c r="I49" s="8">
        <f>IFERROR(INDEX(Items!$F$2:$F$138,MATCH(A49,Items!$A$2:$A$138,0)),"")</f>
        <v>10</v>
      </c>
      <c r="J49" s="4">
        <f>IF(ISNUMBER(I49),I49-G49,"")</f>
        <v>9.4</v>
      </c>
      <c r="K49" s="4">
        <f>IF(ISNUMBER(H49),H49-G49,"")</f>
        <v>2.6</v>
      </c>
      <c r="L49" s="12">
        <f>IF(ISNUMBER(J49),J49*C49,"")</f>
        <v>940</v>
      </c>
    </row>
    <row r="50" spans="1:12" x14ac:dyDescent="0.25">
      <c r="A50" s="2" t="s">
        <v>341</v>
      </c>
      <c r="B50" s="2" t="s">
        <v>420</v>
      </c>
      <c r="C50" s="6">
        <v>500</v>
      </c>
      <c r="D50" s="11">
        <f>ROUND(C50*0.5,0)</f>
        <v>250</v>
      </c>
      <c r="E50" s="2" t="s">
        <v>388</v>
      </c>
      <c r="F50" s="8">
        <f>SUMIFS('Recipe Ingredients'!$E$2:$E$185,'Recipe Ingredients'!$A$2:$A$185,A50)</f>
        <v>12.5</v>
      </c>
      <c r="G50" s="4">
        <f>IF(C50&gt;0,F50/C50,"")</f>
        <v>0.025</v>
      </c>
      <c r="H50" s="8">
        <f>IFERROR(INDEX(Items!$E$2:$E$138,MATCH(A50,Items!$A$2:$A$138,0)),"")</f>
        <v>0.16</v>
      </c>
      <c r="I50" s="8" t="str">
        <f>IFERROR(INDEX(Items!$F$2:$F$138,MATCH(A50,Items!$A$2:$A$138,0)),"")</f>
        <v/>
      </c>
      <c r="J50" s="4" t="str">
        <f>IF(ISNUMBER(I50),I50-G50,"")</f>
        <v/>
      </c>
      <c r="K50" s="4">
        <f>IF(ISNUMBER(H50),H50-G50,"")</f>
        <v>0.135</v>
      </c>
      <c r="L50" s="12" t="str">
        <f>IF(ISNUMBER(J50),J50*C50,"")</f>
        <v/>
      </c>
    </row>
    <row r="51" spans="1:12" x14ac:dyDescent="0.25">
      <c r="A51" s="2" t="s">
        <v>271</v>
      </c>
      <c r="B51" s="2" t="s">
        <v>421</v>
      </c>
      <c r="C51" s="6">
        <v>100</v>
      </c>
      <c r="D51" s="11">
        <f>ROUND(C51*0.5,0)</f>
        <v>50</v>
      </c>
      <c r="E51" s="2" t="s">
        <v>388</v>
      </c>
      <c r="F51" s="8">
        <f>SUMIFS('Recipe Ingredients'!$E$2:$E$185,'Recipe Ingredients'!$A$2:$A$185,A51)</f>
        <v>126.25</v>
      </c>
      <c r="G51" s="4">
        <f>IF(C51&gt;0,F51/C51,"")</f>
        <v>1.2625</v>
      </c>
      <c r="H51" s="8">
        <f>IFERROR(INDEX(Items!$E$2:$E$138,MATCH(A51,Items!$A$2:$A$138,0)),"")</f>
        <v>2.5</v>
      </c>
      <c r="I51" s="8">
        <f>IFERROR(INDEX(Items!$F$2:$F$138,MATCH(A51,Items!$A$2:$A$138,0)),"")</f>
        <v>6</v>
      </c>
      <c r="J51" s="4">
        <f>IF(ISNUMBER(I51),I51-G51,"")</f>
        <v>4.7375</v>
      </c>
      <c r="K51" s="4">
        <f>IF(ISNUMBER(H51),H51-G51,"")</f>
        <v>1.2375</v>
      </c>
      <c r="L51" s="12">
        <f>IF(ISNUMBER(J51),J51*C51,"")</f>
        <v>473.75</v>
      </c>
    </row>
    <row r="52" spans="1:12" x14ac:dyDescent="0.25">
      <c r="A52" s="2" t="s">
        <v>273</v>
      </c>
      <c r="B52" s="2" t="s">
        <v>422</v>
      </c>
      <c r="C52" s="6">
        <v>200</v>
      </c>
      <c r="D52" s="11">
        <f>ROUND(C52*0.5,0)</f>
        <v>100</v>
      </c>
      <c r="E52" s="2" t="s">
        <v>384</v>
      </c>
      <c r="F52" s="8">
        <f>SUMIFS('Recipe Ingredients'!$E$2:$E$185,'Recipe Ingredients'!$A$2:$A$185,A52)</f>
        <v>203</v>
      </c>
      <c r="G52" s="4">
        <f>IF(C52&gt;0,F52/C52,"")</f>
        <v>1.015</v>
      </c>
      <c r="H52" s="8">
        <f>IFERROR(INDEX(Items!$E$2:$E$138,MATCH(A52,Items!$A$2:$A$138,0)),"")</f>
        <v>8</v>
      </c>
      <c r="I52" s="8">
        <f>IFERROR(INDEX(Items!$F$2:$F$138,MATCH(A52,Items!$A$2:$A$138,0)),"")</f>
        <v>22</v>
      </c>
      <c r="J52" s="4">
        <f>IF(ISNUMBER(I52),I52-G52,"")</f>
        <v>20.985</v>
      </c>
      <c r="K52" s="4">
        <f>IF(ISNUMBER(H52),H52-G52,"")</f>
        <v>6.985</v>
      </c>
      <c r="L52" s="12">
        <f>IF(ISNUMBER(J52),J52*C52,"")</f>
        <v>4197</v>
      </c>
    </row>
    <row r="53" spans="1:12" x14ac:dyDescent="0.25">
      <c r="A53" s="2" t="s">
        <v>275</v>
      </c>
      <c r="B53" s="2" t="s">
        <v>423</v>
      </c>
      <c r="C53" s="6">
        <v>200</v>
      </c>
      <c r="D53" s="11">
        <f>ROUND(C53*0.5,0)</f>
        <v>100</v>
      </c>
      <c r="E53" s="2" t="s">
        <v>384</v>
      </c>
      <c r="F53" s="8">
        <f>SUMIFS('Recipe Ingredients'!$E$2:$E$185,'Recipe Ingredients'!$A$2:$A$185,A53)</f>
        <v>7</v>
      </c>
      <c r="G53" s="4">
        <f>IF(C53&gt;0,F53/C53,"")</f>
        <v>0.035</v>
      </c>
      <c r="H53" s="8">
        <f>IFERROR(INDEX(Items!$E$2:$E$138,MATCH(A53,Items!$A$2:$A$138,0)),"")</f>
        <v>0.2</v>
      </c>
      <c r="I53" s="8">
        <f>IFERROR(INDEX(Items!$F$2:$F$138,MATCH(A53,Items!$A$2:$A$138,0)),"")</f>
        <v>8.5</v>
      </c>
      <c r="J53" s="4">
        <f>IF(ISNUMBER(I53),I53-G53,"")</f>
        <v>8.465</v>
      </c>
      <c r="K53" s="4">
        <f>IF(ISNUMBER(H53),H53-G53,"")</f>
        <v>0.165</v>
      </c>
      <c r="L53" s="12">
        <f>IF(ISNUMBER(J53),J53*C53,"")</f>
        <v>1693</v>
      </c>
    </row>
    <row r="54" spans="1:12" x14ac:dyDescent="0.25">
      <c r="A54" s="2" t="s">
        <v>278</v>
      </c>
      <c r="B54" s="2" t="s">
        <v>424</v>
      </c>
      <c r="C54" s="6">
        <v>60</v>
      </c>
      <c r="D54" s="11">
        <f>ROUND(C54*0.5,0)</f>
        <v>30</v>
      </c>
      <c r="E54" s="2" t="s">
        <v>371</v>
      </c>
      <c r="F54" s="8">
        <f>SUMIFS('Recipe Ingredients'!$E$2:$E$185,'Recipe Ingredients'!$A$2:$A$185,A54)</f>
        <v>4132</v>
      </c>
      <c r="G54" s="4">
        <f>IF(C54&gt;0,F54/C54,"")</f>
        <v>68.86666666666666</v>
      </c>
      <c r="H54" s="8">
        <f>IFERROR(INDEX(Items!$E$2:$E$138,MATCH(A54,Items!$A$2:$A$138,0)),"")</f>
        <v>200</v>
      </c>
      <c r="I54" s="8">
        <f>IFERROR(INDEX(Items!$F$2:$F$138,MATCH(A54,Items!$A$2:$A$138,0)),"")</f>
        <v>349</v>
      </c>
      <c r="J54" s="4">
        <f>IF(ISNUMBER(I54),I54-G54,"")</f>
        <v>280.1333333333333</v>
      </c>
      <c r="K54" s="4">
        <f>IF(ISNUMBER(H54),H54-G54,"")</f>
        <v>131.13333333333333</v>
      </c>
      <c r="L54" s="12">
        <f>IF(ISNUMBER(J54),J54*C54,"")</f>
        <v>16808</v>
      </c>
    </row>
    <row r="55" spans="1:12" x14ac:dyDescent="0.25">
      <c r="A55" s="2" t="s">
        <v>281</v>
      </c>
      <c r="B55" s="2" t="s">
        <v>425</v>
      </c>
      <c r="C55" s="6">
        <v>200</v>
      </c>
      <c r="D55" s="11">
        <f>ROUND(C55*0.5,0)</f>
        <v>100</v>
      </c>
      <c r="E55" s="2" t="s">
        <v>384</v>
      </c>
      <c r="F55" s="8">
        <f>SUMIFS('Recipe Ingredients'!$E$2:$E$185,'Recipe Ingredients'!$A$2:$A$185,A55)</f>
        <v>119</v>
      </c>
      <c r="G55" s="4">
        <f>IF(C55&gt;0,F55/C55,"")</f>
        <v>0.595</v>
      </c>
      <c r="H55" s="8">
        <f>IFERROR(INDEX(Items!$E$2:$E$138,MATCH(A55,Items!$A$2:$A$138,0)),"")</f>
        <v>4.9</v>
      </c>
      <c r="I55" s="8">
        <f>IFERROR(INDEX(Items!$F$2:$F$138,MATCH(A55,Items!$A$2:$A$138,0)),"")</f>
        <v>13</v>
      </c>
      <c r="J55" s="4">
        <f>IF(ISNUMBER(I55),I55-G55,"")</f>
        <v>12.405</v>
      </c>
      <c r="K55" s="4">
        <f>IF(ISNUMBER(H55),H55-G55,"")</f>
        <v>4.305000000000001</v>
      </c>
      <c r="L55" s="12">
        <f>IF(ISNUMBER(J55),J55*C55,"")</f>
        <v>2481</v>
      </c>
    </row>
    <row r="56" spans="1:12" x14ac:dyDescent="0.25">
      <c r="A56" s="2" t="s">
        <v>284</v>
      </c>
      <c r="B56" s="2" t="s">
        <v>426</v>
      </c>
      <c r="C56" s="6">
        <v>250</v>
      </c>
      <c r="D56" s="11">
        <f>ROUND(C56*0.5,0)</f>
        <v>125</v>
      </c>
      <c r="E56" s="2" t="s">
        <v>381</v>
      </c>
      <c r="F56" s="8">
        <f>SUMIFS('Recipe Ingredients'!$E$2:$E$185,'Recipe Ingredients'!$A$2:$A$185,A56)</f>
        <v>25</v>
      </c>
      <c r="G56" s="4">
        <f>IF(C56&gt;0,F56/C56,"")</f>
        <v>0.1</v>
      </c>
      <c r="H56" s="8">
        <f>IFERROR(INDEX(Items!$E$2:$E$138,MATCH(A56,Items!$A$2:$A$138,0)),"")</f>
        <v>0.9</v>
      </c>
      <c r="I56" s="8">
        <f>IFERROR(INDEX(Items!$F$2:$F$138,MATCH(A56,Items!$A$2:$A$138,0)),"")</f>
        <v>7</v>
      </c>
      <c r="J56" s="4">
        <f>IF(ISNUMBER(I56),I56-G56,"")</f>
        <v>6.9</v>
      </c>
      <c r="K56" s="4">
        <f>IF(ISNUMBER(H56),H56-G56,"")</f>
        <v>0.8</v>
      </c>
      <c r="L56" s="12">
        <f>IF(ISNUMBER(J56),J56*C56,"")</f>
        <v>1725</v>
      </c>
    </row>
    <row r="57" spans="1:12" x14ac:dyDescent="0.25">
      <c r="A57" s="2" t="s">
        <v>286</v>
      </c>
      <c r="B57" s="2" t="s">
        <v>427</v>
      </c>
      <c r="C57" s="6">
        <v>250</v>
      </c>
      <c r="D57" s="11">
        <f>ROUND(C57*0.5,0)</f>
        <v>125</v>
      </c>
      <c r="E57" s="2" t="s">
        <v>381</v>
      </c>
      <c r="F57" s="8">
        <f>SUMIFS('Recipe Ingredients'!$E$2:$E$185,'Recipe Ingredients'!$A$2:$A$185,A57)</f>
        <v>22.5</v>
      </c>
      <c r="G57" s="4">
        <f>IF(C57&gt;0,F57/C57,"")</f>
        <v>0.09</v>
      </c>
      <c r="H57" s="8">
        <f>IFERROR(INDEX(Items!$E$2:$E$138,MATCH(A57,Items!$A$2:$A$138,0)),"")</f>
        <v>0.5</v>
      </c>
      <c r="I57" s="8">
        <f>IFERROR(INDEX(Items!$F$2:$F$138,MATCH(A57,Items!$A$2:$A$138,0)),"")</f>
        <v>3</v>
      </c>
      <c r="J57" s="4">
        <f>IF(ISNUMBER(I57),I57-G57,"")</f>
        <v>2.91</v>
      </c>
      <c r="K57" s="4">
        <f>IF(ISNUMBER(H57),H57-G57,"")</f>
        <v>0.41000000000000003</v>
      </c>
      <c r="L57" s="12">
        <f>IF(ISNUMBER(J57),J57*C57,"")</f>
        <v>727.5</v>
      </c>
    </row>
    <row r="58" spans="1:12" x14ac:dyDescent="0.25">
      <c r="A58" s="2" t="s">
        <v>290</v>
      </c>
      <c r="B58" s="2" t="s">
        <v>428</v>
      </c>
      <c r="C58" s="6">
        <v>100</v>
      </c>
      <c r="D58" s="11">
        <f>ROUND(C58*0.5,0)</f>
        <v>50</v>
      </c>
      <c r="E58" s="2" t="s">
        <v>388</v>
      </c>
      <c r="F58" s="8">
        <f>SUMIFS('Recipe Ingredients'!$E$2:$E$185,'Recipe Ingredients'!$A$2:$A$185,A58)</f>
        <v>631.25</v>
      </c>
      <c r="G58" s="4">
        <f>IF(C58&gt;0,F58/C58,"")</f>
        <v>6.3125</v>
      </c>
      <c r="H58" s="8">
        <f>IFERROR(INDEX(Items!$E$2:$E$138,MATCH(A58,Items!$A$2:$A$138,0)),"")</f>
        <v>18</v>
      </c>
      <c r="I58" s="8">
        <f>IFERROR(INDEX(Items!$F$2:$F$138,MATCH(A58,Items!$A$2:$A$138,0)),"")</f>
        <v>44</v>
      </c>
      <c r="J58" s="4">
        <f>IF(ISNUMBER(I58),I58-G58,"")</f>
        <v>37.6875</v>
      </c>
      <c r="K58" s="4">
        <f>IF(ISNUMBER(H58),H58-G58,"")</f>
        <v>11.6875</v>
      </c>
      <c r="L58" s="12">
        <f>IF(ISNUMBER(J58),J58*C58,"")</f>
        <v>3768.75</v>
      </c>
    </row>
    <row r="59" spans="1:12" x14ac:dyDescent="0.25">
      <c r="A59" s="2" t="s">
        <v>292</v>
      </c>
      <c r="B59" s="2" t="s">
        <v>429</v>
      </c>
      <c r="C59" s="6">
        <v>100</v>
      </c>
      <c r="D59" s="11">
        <f>ROUND(C59*0.5,0)</f>
        <v>50</v>
      </c>
      <c r="E59" s="2" t="s">
        <v>388</v>
      </c>
      <c r="F59" s="8">
        <f>SUMIFS('Recipe Ingredients'!$E$2:$E$185,'Recipe Ingredients'!$A$2:$A$185,A59)</f>
        <v>380</v>
      </c>
      <c r="G59" s="4">
        <f>IF(C59&gt;0,F59/C59,"")</f>
        <v>3.8</v>
      </c>
      <c r="H59" s="8">
        <f>IFERROR(INDEX(Items!$E$2:$E$138,MATCH(A59,Items!$A$2:$A$138,0)),"")</f>
        <v>7</v>
      </c>
      <c r="I59" s="8">
        <f>IFERROR(INDEX(Items!$F$2:$F$138,MATCH(A59,Items!$A$2:$A$138,0)),"")</f>
        <v>24</v>
      </c>
      <c r="J59" s="4">
        <f>IF(ISNUMBER(I59),I59-G59,"")</f>
        <v>20.2</v>
      </c>
      <c r="K59" s="4">
        <f>IF(ISNUMBER(H59),H59-G59,"")</f>
        <v>3.2</v>
      </c>
      <c r="L59" s="12">
        <f>IF(ISNUMBER(J59),J59*C59,"")</f>
        <v>2020</v>
      </c>
    </row>
    <row r="60" spans="1:12" x14ac:dyDescent="0.25">
      <c r="A60" s="2" t="s">
        <v>294</v>
      </c>
      <c r="B60" s="2" t="s">
        <v>430</v>
      </c>
      <c r="C60" s="6">
        <v>50</v>
      </c>
      <c r="D60" s="11">
        <f>ROUND(C60*0.5,0)</f>
        <v>25</v>
      </c>
      <c r="E60" s="2" t="s">
        <v>381</v>
      </c>
      <c r="F60" s="8">
        <f>SUMIFS('Recipe Ingredients'!$E$2:$E$185,'Recipe Ingredients'!$A$2:$A$185,A60)</f>
        <v>25</v>
      </c>
      <c r="G60" s="4">
        <f>IF(C60&gt;0,F60/C60,"")</f>
        <v>0.5</v>
      </c>
      <c r="H60" s="8">
        <f>IFERROR(INDEX(Items!$E$2:$E$138,MATCH(A60,Items!$A$2:$A$138,0)),"")</f>
        <v>8</v>
      </c>
      <c r="I60" s="8">
        <f>IFERROR(INDEX(Items!$F$2:$F$138,MATCH(A60,Items!$A$2:$A$138,0)),"")</f>
        <v>26</v>
      </c>
      <c r="J60" s="4">
        <f>IF(ISNUMBER(I60),I60-G60,"")</f>
        <v>25.5</v>
      </c>
      <c r="K60" s="4">
        <f>IF(ISNUMBER(H60),H60-G60,"")</f>
        <v>7.5</v>
      </c>
      <c r="L60" s="12">
        <f>IF(ISNUMBER(J60),J60*C60,"")</f>
        <v>1275</v>
      </c>
    </row>
    <row r="61" spans="1:12" x14ac:dyDescent="0.25">
      <c r="A61" s="2" t="s">
        <v>296</v>
      </c>
      <c r="B61" s="2" t="s">
        <v>421</v>
      </c>
      <c r="C61" s="6">
        <v>100</v>
      </c>
      <c r="D61" s="11">
        <f>ROUND(C61*0.5,0)</f>
        <v>50</v>
      </c>
      <c r="E61" s="2" t="s">
        <v>388</v>
      </c>
      <c r="F61" s="8">
        <f>SUMIFS('Recipe Ingredients'!$E$2:$E$185,'Recipe Ingredients'!$A$2:$A$185,A61)</f>
        <v>126.25</v>
      </c>
      <c r="G61" s="4">
        <f>IF(C61&gt;0,F61/C61,"")</f>
        <v>1.2625</v>
      </c>
      <c r="H61" s="8">
        <f>IFERROR(INDEX(Items!$E$2:$E$138,MATCH(A61,Items!$A$2:$A$138,0)),"")</f>
        <v>5.5</v>
      </c>
      <c r="I61" s="8">
        <f>IFERROR(INDEX(Items!$F$2:$F$138,MATCH(A61,Items!$A$2:$A$138,0)),"")</f>
        <v>14</v>
      </c>
      <c r="J61" s="4">
        <f>IF(ISNUMBER(I61),I61-G61,"")</f>
        <v>12.7375</v>
      </c>
      <c r="K61" s="4">
        <f>IF(ISNUMBER(H61),H61-G61,"")</f>
        <v>4.2375</v>
      </c>
      <c r="L61" s="12">
        <f>IF(ISNUMBER(J61),J61*C61,"")</f>
        <v>1273.75</v>
      </c>
    </row>
    <row r="62" spans="1:12" x14ac:dyDescent="0.25">
      <c r="A62" s="2" t="s">
        <v>298</v>
      </c>
      <c r="B62" s="2" t="s">
        <v>370</v>
      </c>
      <c r="C62" s="6">
        <v>30</v>
      </c>
      <c r="D62" s="11">
        <f>ROUND(C62*0.5,0)</f>
        <v>15</v>
      </c>
      <c r="E62" s="2" t="s">
        <v>371</v>
      </c>
      <c r="F62" s="8">
        <f>SUMIFS('Recipe Ingredients'!$E$2:$E$185,'Recipe Ingredients'!$A$2:$A$185,A62)</f>
        <v>7173</v>
      </c>
      <c r="G62" s="4">
        <f>IF(C62&gt;0,F62/C62,"")</f>
        <v>239.1</v>
      </c>
      <c r="H62" s="8">
        <f>IFERROR(INDEX(Items!$E$2:$E$138,MATCH(A62,Items!$A$2:$A$138,0)),"")</f>
        <v>450</v>
      </c>
      <c r="I62" s="8">
        <f>IFERROR(INDEX(Items!$F$2:$F$138,MATCH(A62,Items!$A$2:$A$138,0)),"")</f>
        <v>999</v>
      </c>
      <c r="J62" s="4">
        <f>IF(ISNUMBER(I62),I62-G62,"")</f>
        <v>759.9</v>
      </c>
      <c r="K62" s="4">
        <f>IF(ISNUMBER(H62),H62-G62,"")</f>
        <v>210.9</v>
      </c>
      <c r="L62" s="12">
        <f>IF(ISNUMBER(J62),J62*C62,"")</f>
        <v>22797</v>
      </c>
    </row>
    <row r="63" spans="1:12" x14ac:dyDescent="0.25">
      <c r="A63" s="2" t="s">
        <v>300</v>
      </c>
      <c r="B63" s="2" t="s">
        <v>372</v>
      </c>
      <c r="C63" s="6">
        <v>30</v>
      </c>
      <c r="D63" s="11">
        <f>ROUND(C63*0.5,0)</f>
        <v>15</v>
      </c>
      <c r="E63" s="2" t="s">
        <v>371</v>
      </c>
      <c r="F63" s="8">
        <f>SUMIFS('Recipe Ingredients'!$E$2:$E$185,'Recipe Ingredients'!$A$2:$A$185,A63)</f>
        <v>2525.5</v>
      </c>
      <c r="G63" s="4">
        <f>IF(C63&gt;0,F63/C63,"")</f>
        <v>84.18333333333334</v>
      </c>
      <c r="H63" s="8">
        <f>IFERROR(INDEX(Items!$E$2:$E$138,MATCH(A63,Items!$A$2:$A$138,0)),"")</f>
        <v>250</v>
      </c>
      <c r="I63" s="8">
        <f>IFERROR(INDEX(Items!$F$2:$F$138,MATCH(A63,Items!$A$2:$A$138,0)),"")</f>
        <v>399</v>
      </c>
      <c r="J63" s="4">
        <f>IF(ISNUMBER(I63),I63-G63,"")</f>
        <v>314.81666666666666</v>
      </c>
      <c r="K63" s="4">
        <f>IF(ISNUMBER(H63),H63-G63,"")</f>
        <v>165.81666666666666</v>
      </c>
      <c r="L63" s="12">
        <f>IF(ISNUMBER(J63),J63*C63,"")</f>
        <v>9444.5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F1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11" customWidth="1"/>
    <col min="4" max="5" width="13" customWidth="1"/>
    <col min="6" max="6" width="34" customWidth="1"/>
  </cols>
  <sheetData>
    <row r="1" ht="30" customHeight="1" spans="1:6" x14ac:dyDescent="0.25">
      <c r="A1" s="1" t="s">
        <v>431</v>
      </c>
      <c r="B1" s="1" t="s">
        <v>432</v>
      </c>
      <c r="C1" s="1" t="s">
        <v>433</v>
      </c>
      <c r="D1" s="1" t="s">
        <v>5</v>
      </c>
      <c r="E1" s="1" t="s">
        <v>4</v>
      </c>
      <c r="F1" s="1" t="s">
        <v>434</v>
      </c>
    </row>
    <row r="2" spans="1:6" x14ac:dyDescent="0.25">
      <c r="A2" s="2" t="s">
        <v>256</v>
      </c>
      <c r="B2" s="2" t="s">
        <v>267</v>
      </c>
      <c r="C2" s="13">
        <v>1</v>
      </c>
      <c r="D2" s="8">
        <f>IFERROR(INDEX(Items!$F$2:$F$138,MATCH(B2,Items!$A$2:$A$138,0)),"")</f>
        <v>28</v>
      </c>
      <c r="E2" s="8">
        <f>IFERROR(INDEX(Items!$E$2:$E$138,MATCH(B2,Items!$A$2:$A$138,0)),"")</f>
        <v>11.5</v>
      </c>
      <c r="F2" s="2" t="s">
        <v>347</v>
      </c>
    </row>
    <row r="3" spans="1:6" x14ac:dyDescent="0.25">
      <c r="A3" s="2" t="s">
        <v>256</v>
      </c>
      <c r="B3" s="2" t="s">
        <v>296</v>
      </c>
      <c r="C3" s="13">
        <v>1</v>
      </c>
      <c r="D3" s="8">
        <f>IFERROR(INDEX(Items!$F$2:$F$138,MATCH(B3,Items!$A$2:$A$138,0)),"")</f>
        <v>14</v>
      </c>
      <c r="E3" s="8">
        <f>IFERROR(INDEX(Items!$E$2:$E$138,MATCH(B3,Items!$A$2:$A$138,0)),"")</f>
        <v>5.5</v>
      </c>
      <c r="F3" s="2" t="s">
        <v>347</v>
      </c>
    </row>
    <row r="4" spans="1:6" x14ac:dyDescent="0.25">
      <c r="A4" s="2" t="s">
        <v>256</v>
      </c>
      <c r="B4" s="2" t="s">
        <v>262</v>
      </c>
      <c r="C4" s="13">
        <v>1</v>
      </c>
      <c r="D4" s="8">
        <f>IFERROR(INDEX(Items!$F$2:$F$138,MATCH(B4,Items!$A$2:$A$138,0)),"")</f>
        <v>25</v>
      </c>
      <c r="E4" s="8">
        <f>IFERROR(INDEX(Items!$E$2:$E$138,MATCH(B4,Items!$A$2:$A$138,0)),"")</f>
        <v>10</v>
      </c>
      <c r="F4" s="2" t="s">
        <v>347</v>
      </c>
    </row>
    <row r="5" spans="1:6" x14ac:dyDescent="0.25">
      <c r="A5" s="2" t="s">
        <v>256</v>
      </c>
      <c r="B5" s="2" t="s">
        <v>290</v>
      </c>
      <c r="C5" s="13">
        <v>1</v>
      </c>
      <c r="D5" s="8">
        <f>IFERROR(INDEX(Items!$F$2:$F$138,MATCH(B5,Items!$A$2:$A$138,0)),"")</f>
        <v>44</v>
      </c>
      <c r="E5" s="8">
        <f>IFERROR(INDEX(Items!$E$2:$E$138,MATCH(B5,Items!$A$2:$A$138,0)),"")</f>
        <v>18</v>
      </c>
      <c r="F5" s="2" t="s">
        <v>347</v>
      </c>
    </row>
    <row r="6" spans="1:6" x14ac:dyDescent="0.25">
      <c r="A6" s="2" t="s">
        <v>256</v>
      </c>
      <c r="B6" s="2" t="s">
        <v>271</v>
      </c>
      <c r="C6" s="13">
        <v>1</v>
      </c>
      <c r="D6" s="8">
        <f>IFERROR(INDEX(Items!$F$2:$F$138,MATCH(B6,Items!$A$2:$A$138,0)),"")</f>
        <v>6</v>
      </c>
      <c r="E6" s="8">
        <f>IFERROR(INDEX(Items!$E$2:$E$138,MATCH(B6,Items!$A$2:$A$138,0)),"")</f>
        <v>2.5</v>
      </c>
      <c r="F6" s="2" t="s">
        <v>347</v>
      </c>
    </row>
    <row r="7" spans="1:6" x14ac:dyDescent="0.25">
      <c r="A7" s="2" t="s">
        <v>256</v>
      </c>
      <c r="B7" s="2" t="s">
        <v>254</v>
      </c>
      <c r="C7" s="13">
        <v>1</v>
      </c>
      <c r="D7" s="8">
        <f>IFERROR(INDEX(Items!$F$2:$F$138,MATCH(B7,Items!$A$2:$A$138,0)),"")</f>
        <v>90</v>
      </c>
      <c r="E7" s="8">
        <f>IFERROR(INDEX(Items!$E$2:$E$138,MATCH(B7,Items!$A$2:$A$138,0)),"")</f>
        <v>45</v>
      </c>
      <c r="F7" s="2" t="s">
        <v>347</v>
      </c>
    </row>
    <row r="8" spans="1:6" x14ac:dyDescent="0.25">
      <c r="A8" s="2" t="s">
        <v>256</v>
      </c>
      <c r="B8" s="2" t="s">
        <v>236</v>
      </c>
      <c r="C8" s="13">
        <v>0.25</v>
      </c>
      <c r="D8" s="8">
        <f>IFERROR(INDEX(Items!$F$2:$F$138,MATCH(B8,Items!$A$2:$A$138,0)),"")</f>
        <v>18</v>
      </c>
      <c r="E8" s="8">
        <f>IFERROR(INDEX(Items!$E$2:$E$138,MATCH(B8,Items!$A$2:$A$138,0)),"")</f>
        <v>5</v>
      </c>
      <c r="F8" s="2" t="s">
        <v>347</v>
      </c>
    </row>
    <row r="9" spans="1:6" x14ac:dyDescent="0.25">
      <c r="A9" s="2" t="s">
        <v>256</v>
      </c>
      <c r="B9" s="2" t="s">
        <v>223</v>
      </c>
      <c r="C9" s="13">
        <v>0.25</v>
      </c>
      <c r="D9" s="8">
        <f>IFERROR(INDEX(Items!$F$2:$F$138,MATCH(B9,Items!$A$2:$A$138,0)),"")</f>
        <v>25</v>
      </c>
      <c r="E9" s="8">
        <f>IFERROR(INDEX(Items!$E$2:$E$138,MATCH(B9,Items!$A$2:$A$138,0)),"")</f>
        <v>6</v>
      </c>
      <c r="F9" s="2" t="s">
        <v>347</v>
      </c>
    </row>
    <row r="10" spans="1:6" x14ac:dyDescent="0.25">
      <c r="A10" s="2" t="s">
        <v>256</v>
      </c>
      <c r="B10" s="2" t="s">
        <v>264</v>
      </c>
      <c r="C10" s="13">
        <v>0.33</v>
      </c>
      <c r="D10" s="8">
        <f>IFERROR(INDEX(Items!$F$2:$F$138,MATCH(B10,Items!$A$2:$A$138,0)),"")</f>
        <v>159</v>
      </c>
      <c r="E10" s="8">
        <f>IFERROR(INDEX(Items!$E$2:$E$138,MATCH(B10,Items!$A$2:$A$138,0)),"")</f>
        <v>79</v>
      </c>
      <c r="F10" s="2" t="s">
        <v>347</v>
      </c>
    </row>
    <row r="11" spans="1:6" x14ac:dyDescent="0.25">
      <c r="A11" s="2" t="s">
        <v>256</v>
      </c>
      <c r="B11" s="2" t="s">
        <v>292</v>
      </c>
      <c r="C11" s="13">
        <v>0.75</v>
      </c>
      <c r="D11" s="8">
        <f>IFERROR(INDEX(Items!$F$2:$F$138,MATCH(B11,Items!$A$2:$A$138,0)),"")</f>
        <v>24</v>
      </c>
      <c r="E11" s="8">
        <f>IFERROR(INDEX(Items!$E$2:$E$138,MATCH(B11,Items!$A$2:$A$138,0)),"")</f>
        <v>7</v>
      </c>
      <c r="F11" s="2" t="s">
        <v>347</v>
      </c>
    </row>
    <row r="12" spans="1:6" x14ac:dyDescent="0.25">
      <c r="A12" s="2" t="s">
        <v>207</v>
      </c>
      <c r="B12" s="2" t="s">
        <v>302</v>
      </c>
      <c r="C12" s="13">
        <v>1</v>
      </c>
      <c r="D12" s="8">
        <f>IFERROR(INDEX(Items!$F$2:$F$138,MATCH(B12,Items!$A$2:$A$138,0)),"")</f>
        <v>16</v>
      </c>
      <c r="E12" s="8" t="str">
        <f>IFERROR(INDEX(Items!$E$2:$E$138,MATCH(B12,Items!$A$2:$A$138,0)),"")</f>
        <v/>
      </c>
      <c r="F12" s="2" t="s">
        <v>435</v>
      </c>
    </row>
    <row r="13" spans="1:6" x14ac:dyDescent="0.25">
      <c r="A13" s="2" t="s">
        <v>207</v>
      </c>
      <c r="B13" s="2" t="s">
        <v>286</v>
      </c>
      <c r="C13" s="13">
        <v>1</v>
      </c>
      <c r="D13" s="8">
        <f>IFERROR(INDEX(Items!$F$2:$F$138,MATCH(B13,Items!$A$2:$A$138,0)),"")</f>
        <v>3</v>
      </c>
      <c r="E13" s="8">
        <f>IFERROR(INDEX(Items!$E$2:$E$138,MATCH(B13,Items!$A$2:$A$138,0)),"")</f>
        <v>0.5</v>
      </c>
      <c r="F13" s="2" t="s">
        <v>435</v>
      </c>
    </row>
    <row r="14" spans="1:6" x14ac:dyDescent="0.25">
      <c r="A14" s="2" t="s">
        <v>207</v>
      </c>
      <c r="B14" s="2" t="s">
        <v>284</v>
      </c>
      <c r="C14" s="13">
        <v>0.9</v>
      </c>
      <c r="D14" s="8">
        <f>IFERROR(INDEX(Items!$F$2:$F$138,MATCH(B14,Items!$A$2:$A$138,0)),"")</f>
        <v>7</v>
      </c>
      <c r="E14" s="8">
        <f>IFERROR(INDEX(Items!$E$2:$E$138,MATCH(B14,Items!$A$2:$A$138,0)),"")</f>
        <v>0.9</v>
      </c>
      <c r="F14" s="2" t="s">
        <v>435</v>
      </c>
    </row>
    <row r="15" spans="1:6" x14ac:dyDescent="0.25">
      <c r="A15" s="2" t="s">
        <v>207</v>
      </c>
      <c r="B15" s="2" t="s">
        <v>275</v>
      </c>
      <c r="C15" s="13">
        <v>1</v>
      </c>
      <c r="D15" s="8">
        <f>IFERROR(INDEX(Items!$F$2:$F$138,MATCH(B15,Items!$A$2:$A$138,0)),"")</f>
        <v>8.5</v>
      </c>
      <c r="E15" s="8">
        <f>IFERROR(INDEX(Items!$E$2:$E$138,MATCH(B15,Items!$A$2:$A$138,0)),"")</f>
        <v>0.2</v>
      </c>
      <c r="F15" s="2" t="s">
        <v>435</v>
      </c>
    </row>
    <row r="16" spans="1:6" x14ac:dyDescent="0.25">
      <c r="A16" s="2" t="s">
        <v>207</v>
      </c>
      <c r="B16" s="2" t="s">
        <v>205</v>
      </c>
      <c r="C16" s="13">
        <v>0.9</v>
      </c>
      <c r="D16" s="8">
        <f>IFERROR(INDEX(Items!$F$2:$F$138,MATCH(B16,Items!$A$2:$A$138,0)),"")</f>
        <v>6.75</v>
      </c>
      <c r="E16" s="8">
        <f>IFERROR(INDEX(Items!$E$2:$E$138,MATCH(B16,Items!$A$2:$A$138,0)),"")</f>
        <v>0.1</v>
      </c>
      <c r="F16" s="2" t="s">
        <v>435</v>
      </c>
    </row>
    <row r="17" spans="1:6" x14ac:dyDescent="0.25">
      <c r="A17" s="2" t="s">
        <v>189</v>
      </c>
      <c r="B17" s="2" t="s">
        <v>190</v>
      </c>
      <c r="C17" s="13">
        <v>1</v>
      </c>
      <c r="D17" s="8">
        <f>IFERROR(INDEX(Items!$F$2:$F$138,MATCH(B17,Items!$A$2:$A$138,0)),"")</f>
        <v>55</v>
      </c>
      <c r="E17" s="8">
        <f>IFERROR(INDEX(Items!$E$2:$E$138,MATCH(B17,Items!$A$2:$A$138,0)),"")</f>
        <v>24</v>
      </c>
      <c r="F17" s="2" t="s">
        <v>436</v>
      </c>
    </row>
    <row r="18" spans="1:6" x14ac:dyDescent="0.25">
      <c r="A18" s="2" t="s">
        <v>189</v>
      </c>
      <c r="B18" s="2" t="s">
        <v>187</v>
      </c>
      <c r="C18" s="13">
        <v>1</v>
      </c>
      <c r="D18" s="8">
        <f>IFERROR(INDEX(Items!$F$2:$F$138,MATCH(B18,Items!$A$2:$A$138,0)),"")</f>
        <v>55</v>
      </c>
      <c r="E18" s="8">
        <f>IFERROR(INDEX(Items!$E$2:$E$138,MATCH(B18,Items!$A$2:$A$138,0)),"")</f>
        <v>24</v>
      </c>
      <c r="F18" s="2" t="s">
        <v>436</v>
      </c>
    </row>
    <row r="19" spans="1:6" x14ac:dyDescent="0.25">
      <c r="A19" s="2" t="s">
        <v>189</v>
      </c>
      <c r="B19" s="2" t="s">
        <v>199</v>
      </c>
      <c r="C19" s="13">
        <v>1</v>
      </c>
      <c r="D19" s="8">
        <f>IFERROR(INDEX(Items!$F$2:$F$138,MATCH(B19,Items!$A$2:$A$138,0)),"")</f>
        <v>57</v>
      </c>
      <c r="E19" s="8">
        <f>IFERROR(INDEX(Items!$E$2:$E$138,MATCH(B19,Items!$A$2:$A$138,0)),"")</f>
        <v>27</v>
      </c>
      <c r="F19" s="2" t="s">
        <v>436</v>
      </c>
    </row>
    <row r="20" spans="1:6" x14ac:dyDescent="0.25">
      <c r="A20" s="2" t="s">
        <v>189</v>
      </c>
      <c r="B20" s="2" t="s">
        <v>197</v>
      </c>
      <c r="C20" s="13">
        <v>1</v>
      </c>
      <c r="D20" s="8">
        <f>IFERROR(INDEX(Items!$F$2:$F$138,MATCH(B20,Items!$A$2:$A$138,0)),"")</f>
        <v>57</v>
      </c>
      <c r="E20" s="8">
        <f>IFERROR(INDEX(Items!$E$2:$E$138,MATCH(B20,Items!$A$2:$A$138,0)),"")</f>
        <v>27</v>
      </c>
      <c r="F20" s="2" t="s">
        <v>436</v>
      </c>
    </row>
    <row r="21" spans="1:6" x14ac:dyDescent="0.25">
      <c r="A21" s="2" t="s">
        <v>189</v>
      </c>
      <c r="B21" s="2" t="s">
        <v>195</v>
      </c>
      <c r="C21" s="13">
        <v>1</v>
      </c>
      <c r="D21" s="8">
        <f>IFERROR(INDEX(Items!$F$2:$F$138,MATCH(B21,Items!$A$2:$A$138,0)),"")</f>
        <v>122</v>
      </c>
      <c r="E21" s="8">
        <f>IFERROR(INDEX(Items!$E$2:$E$138,MATCH(B21,Items!$A$2:$A$138,0)),"")</f>
        <v>41</v>
      </c>
      <c r="F21" s="2" t="s">
        <v>436</v>
      </c>
    </row>
    <row r="22" spans="1:6" x14ac:dyDescent="0.25">
      <c r="A22" s="2" t="s">
        <v>189</v>
      </c>
      <c r="B22" s="2" t="s">
        <v>192</v>
      </c>
      <c r="C22" s="13">
        <v>1</v>
      </c>
      <c r="D22" s="8">
        <f>IFERROR(INDEX(Items!$F$2:$F$138,MATCH(B22,Items!$A$2:$A$138,0)),"")</f>
        <v>122</v>
      </c>
      <c r="E22" s="8">
        <f>IFERROR(INDEX(Items!$E$2:$E$138,MATCH(B22,Items!$A$2:$A$138,0)),"")</f>
        <v>41</v>
      </c>
      <c r="F22" s="2" t="s">
        <v>436</v>
      </c>
    </row>
    <row r="23" spans="1:6" x14ac:dyDescent="0.25">
      <c r="A23" s="2" t="s">
        <v>189</v>
      </c>
      <c r="B23" s="2" t="s">
        <v>203</v>
      </c>
      <c r="C23" s="13">
        <v>1</v>
      </c>
      <c r="D23" s="8">
        <f>IFERROR(INDEX(Items!$F$2:$F$138,MATCH(B23,Items!$A$2:$A$138,0)),"")</f>
        <v>127</v>
      </c>
      <c r="E23" s="8">
        <f>IFERROR(INDEX(Items!$E$2:$E$138,MATCH(B23,Items!$A$2:$A$138,0)),"")</f>
        <v>45</v>
      </c>
      <c r="F23" s="2" t="s">
        <v>436</v>
      </c>
    </row>
    <row r="24" spans="1:6" x14ac:dyDescent="0.25">
      <c r="A24" s="2" t="s">
        <v>189</v>
      </c>
      <c r="B24" s="2" t="s">
        <v>201</v>
      </c>
      <c r="C24" s="13">
        <v>1</v>
      </c>
      <c r="D24" s="8">
        <f>IFERROR(INDEX(Items!$F$2:$F$138,MATCH(B24,Items!$A$2:$A$138,0)),"")</f>
        <v>127</v>
      </c>
      <c r="E24" s="8">
        <f>IFERROR(INDEX(Items!$E$2:$E$138,MATCH(B24,Items!$A$2:$A$138,0)),"")</f>
        <v>45</v>
      </c>
      <c r="F24" s="2" t="s">
        <v>436</v>
      </c>
    </row>
    <row r="25" spans="1:6" x14ac:dyDescent="0.25">
      <c r="A25" s="2" t="s">
        <v>189</v>
      </c>
      <c r="B25" s="2" t="s">
        <v>249</v>
      </c>
      <c r="C25" s="13">
        <v>0.2</v>
      </c>
      <c r="D25" s="8">
        <f>IFERROR(INDEX(Items!$F$2:$F$138,MATCH(B25,Items!$A$2:$A$138,0)),"")</f>
        <v>160</v>
      </c>
      <c r="E25" s="8">
        <f>IFERROR(INDEX(Items!$E$2:$E$138,MATCH(B25,Items!$A$2:$A$138,0)),"")</f>
        <v>91</v>
      </c>
      <c r="F25" s="2" t="s">
        <v>436</v>
      </c>
    </row>
    <row r="26" spans="1:6" x14ac:dyDescent="0.25">
      <c r="A26" s="2" t="s">
        <v>189</v>
      </c>
      <c r="B26" s="2" t="s">
        <v>252</v>
      </c>
      <c r="C26" s="13">
        <v>0.15</v>
      </c>
      <c r="D26" s="8">
        <f>IFERROR(INDEX(Items!$F$2:$F$138,MATCH(B26,Items!$A$2:$A$138,0)),"")</f>
        <v>1270</v>
      </c>
      <c r="E26" s="8">
        <f>IFERROR(INDEX(Items!$E$2:$E$138,MATCH(B26,Items!$A$2:$A$138,0)),"")</f>
        <v>768</v>
      </c>
      <c r="F26" s="2" t="s">
        <v>436</v>
      </c>
    </row>
    <row r="27" spans="1:6" x14ac:dyDescent="0.25">
      <c r="A27" s="2" t="s">
        <v>213</v>
      </c>
      <c r="B27" s="2" t="s">
        <v>211</v>
      </c>
      <c r="C27" s="13">
        <v>1</v>
      </c>
      <c r="D27" s="8">
        <f>IFERROR(INDEX(Items!$F$2:$F$138,MATCH(B27,Items!$A$2:$A$138,0)),"")</f>
        <v>3.9</v>
      </c>
      <c r="E27" s="8">
        <f>IFERROR(INDEX(Items!$E$2:$E$138,MATCH(B27,Items!$A$2:$A$138,0)),"")</f>
        <v>0.9</v>
      </c>
      <c r="F27" s="2" t="s">
        <v>435</v>
      </c>
    </row>
    <row r="28" spans="1:6" x14ac:dyDescent="0.25">
      <c r="A28" s="2" t="s">
        <v>213</v>
      </c>
      <c r="B28" s="2" t="s">
        <v>214</v>
      </c>
      <c r="C28" s="13">
        <v>1</v>
      </c>
      <c r="D28" s="8">
        <f>IFERROR(INDEX(Items!$F$2:$F$138,MATCH(B28,Items!$A$2:$A$138,0)),"")</f>
        <v>3.9</v>
      </c>
      <c r="E28" s="8">
        <f>IFERROR(INDEX(Items!$E$2:$E$138,MATCH(B28,Items!$A$2:$A$138,0)),"")</f>
        <v>0.9</v>
      </c>
      <c r="F28" s="2" t="s">
        <v>435</v>
      </c>
    </row>
    <row r="29" spans="1:6" x14ac:dyDescent="0.25">
      <c r="A29" s="2" t="s">
        <v>213</v>
      </c>
      <c r="B29" s="2" t="s">
        <v>208</v>
      </c>
      <c r="C29" s="13">
        <v>1</v>
      </c>
      <c r="D29" s="8">
        <f>IFERROR(INDEX(Items!$F$2:$F$138,MATCH(B29,Items!$A$2:$A$138,0)),"")</f>
        <v>7.2</v>
      </c>
      <c r="E29" s="8">
        <f>IFERROR(INDEX(Items!$E$2:$E$138,MATCH(B29,Items!$A$2:$A$138,0)),"")</f>
        <v>2.91</v>
      </c>
      <c r="F29" s="2" t="s">
        <v>435</v>
      </c>
    </row>
    <row r="30" spans="1:6" x14ac:dyDescent="0.25">
      <c r="A30" s="2" t="s">
        <v>213</v>
      </c>
      <c r="B30" s="2" t="s">
        <v>216</v>
      </c>
      <c r="C30" s="13">
        <v>1</v>
      </c>
      <c r="D30" s="8">
        <f>IFERROR(INDEX(Items!$F$2:$F$138,MATCH(B30,Items!$A$2:$A$138,0)),"")</f>
        <v>5.2</v>
      </c>
      <c r="E30" s="8">
        <f>IFERROR(INDEX(Items!$E$2:$E$138,MATCH(B30,Items!$A$2:$A$138,0)),"")</f>
        <v>2.1</v>
      </c>
      <c r="F30" s="2" t="s">
        <v>435</v>
      </c>
    </row>
    <row r="31" spans="1:6" x14ac:dyDescent="0.25">
      <c r="A31" s="2" t="s">
        <v>213</v>
      </c>
      <c r="B31" s="2" t="s">
        <v>218</v>
      </c>
      <c r="C31" s="13">
        <v>1</v>
      </c>
      <c r="D31" s="8">
        <f>IFERROR(INDEX(Items!$F$2:$F$138,MATCH(B31,Items!$A$2:$A$138,0)),"")</f>
        <v>3.8</v>
      </c>
      <c r="E31" s="8">
        <f>IFERROR(INDEX(Items!$E$2:$E$138,MATCH(B31,Items!$A$2:$A$138,0)),"")</f>
        <v>1.52</v>
      </c>
      <c r="F31" s="2" t="s">
        <v>435</v>
      </c>
    </row>
    <row r="32" spans="1:6" x14ac:dyDescent="0.25">
      <c r="A32" s="2" t="s">
        <v>213</v>
      </c>
      <c r="B32" s="2" t="s">
        <v>286</v>
      </c>
      <c r="C32" s="13">
        <v>0.95</v>
      </c>
      <c r="D32" s="8">
        <f>IFERROR(INDEX(Items!$F$2:$F$138,MATCH(B32,Items!$A$2:$A$138,0)),"")</f>
        <v>3</v>
      </c>
      <c r="E32" s="8">
        <f>IFERROR(INDEX(Items!$E$2:$E$138,MATCH(B32,Items!$A$2:$A$138,0)),"")</f>
        <v>0.5</v>
      </c>
      <c r="F32" s="2" t="s">
        <v>435</v>
      </c>
    </row>
    <row r="33" spans="1:6" x14ac:dyDescent="0.25">
      <c r="A33" s="2" t="s">
        <v>213</v>
      </c>
      <c r="B33" s="2" t="s">
        <v>246</v>
      </c>
      <c r="C33" s="13">
        <v>0.9</v>
      </c>
      <c r="D33" s="8">
        <f>IFERROR(INDEX(Items!$F$2:$F$138,MATCH(B33,Items!$A$2:$A$138,0)),"")</f>
        <v>11.5</v>
      </c>
      <c r="E33" s="8">
        <f>IFERROR(INDEX(Items!$E$2:$E$138,MATCH(B33,Items!$A$2:$A$138,0)),"")</f>
        <v>4.33</v>
      </c>
      <c r="F33" s="2" t="s">
        <v>435</v>
      </c>
    </row>
    <row r="34" spans="1:6" x14ac:dyDescent="0.25">
      <c r="A34" s="2" t="s">
        <v>213</v>
      </c>
      <c r="B34" s="2" t="s">
        <v>281</v>
      </c>
      <c r="C34" s="13">
        <v>0.3</v>
      </c>
      <c r="D34" s="8">
        <f>IFERROR(INDEX(Items!$F$2:$F$138,MATCH(B34,Items!$A$2:$A$138,0)),"")</f>
        <v>13</v>
      </c>
      <c r="E34" s="8">
        <f>IFERROR(INDEX(Items!$E$2:$E$138,MATCH(B34,Items!$A$2:$A$138,0)),"")</f>
        <v>4.9</v>
      </c>
      <c r="F34" s="2" t="s">
        <v>435</v>
      </c>
    </row>
    <row r="35" spans="1:6" x14ac:dyDescent="0.25">
      <c r="A35" s="2" t="s">
        <v>213</v>
      </c>
      <c r="B35" s="2" t="s">
        <v>158</v>
      </c>
      <c r="C35" s="13">
        <v>0.3</v>
      </c>
      <c r="D35" s="8">
        <f>IFERROR(INDEX(Items!$F$2:$F$138,MATCH(B35,Items!$A$2:$A$138,0)),"")</f>
        <v>2.89</v>
      </c>
      <c r="E35" s="8">
        <f>IFERROR(INDEX(Items!$E$2:$E$138,MATCH(B35,Items!$A$2:$A$138,0)),"")</f>
        <v>0.32</v>
      </c>
      <c r="F35" s="2" t="s">
        <v>435</v>
      </c>
    </row>
    <row r="36" spans="1:6" x14ac:dyDescent="0.25">
      <c r="A36" s="2" t="s">
        <v>213</v>
      </c>
      <c r="B36" s="2" t="s">
        <v>162</v>
      </c>
      <c r="C36" s="13">
        <v>0.3</v>
      </c>
      <c r="D36" s="8">
        <f>IFERROR(INDEX(Items!$F$2:$F$138,MATCH(B36,Items!$A$2:$A$138,0)),"")</f>
        <v>2.35</v>
      </c>
      <c r="E36" s="8">
        <f>IFERROR(INDEX(Items!$E$2:$E$138,MATCH(B36,Items!$A$2:$A$138,0)),"")</f>
        <v>0.26</v>
      </c>
      <c r="F36" s="2" t="s">
        <v>435</v>
      </c>
    </row>
    <row r="37" spans="1:6" x14ac:dyDescent="0.25">
      <c r="A37" s="2" t="s">
        <v>154</v>
      </c>
      <c r="B37" s="2" t="s">
        <v>150</v>
      </c>
      <c r="C37" s="13">
        <v>1</v>
      </c>
      <c r="D37" s="8">
        <f>IFERROR(INDEX(Items!$F$2:$F$138,MATCH(B37,Items!$A$2:$A$138,0)),"")</f>
        <v>799</v>
      </c>
      <c r="E37" s="8">
        <f>IFERROR(INDEX(Items!$E$2:$E$138,MATCH(B37,Items!$A$2:$A$138,0)),"")</f>
        <v>350</v>
      </c>
      <c r="F37" s="2" t="s">
        <v>436</v>
      </c>
    </row>
    <row r="38" spans="1:6" x14ac:dyDescent="0.25">
      <c r="A38" s="2" t="s">
        <v>154</v>
      </c>
      <c r="B38" s="2" t="s">
        <v>298</v>
      </c>
      <c r="C38" s="13">
        <v>1</v>
      </c>
      <c r="D38" s="8">
        <f>IFERROR(INDEX(Items!$F$2:$F$138,MATCH(B38,Items!$A$2:$A$138,0)),"")</f>
        <v>999</v>
      </c>
      <c r="E38" s="8">
        <f>IFERROR(INDEX(Items!$E$2:$E$138,MATCH(B38,Items!$A$2:$A$138,0)),"")</f>
        <v>450</v>
      </c>
      <c r="F38" s="2" t="s">
        <v>436</v>
      </c>
    </row>
    <row r="39" spans="1:6" x14ac:dyDescent="0.25">
      <c r="A39" s="2" t="s">
        <v>154</v>
      </c>
      <c r="B39" s="2" t="s">
        <v>300</v>
      </c>
      <c r="C39" s="13">
        <v>1</v>
      </c>
      <c r="D39" s="8">
        <f>IFERROR(INDEX(Items!$F$2:$F$138,MATCH(B39,Items!$A$2:$A$138,0)),"")</f>
        <v>399</v>
      </c>
      <c r="E39" s="8">
        <f>IFERROR(INDEX(Items!$E$2:$E$138,MATCH(B39,Items!$A$2:$A$138,0)),"")</f>
        <v>250</v>
      </c>
      <c r="F39" s="2" t="s">
        <v>436</v>
      </c>
    </row>
    <row r="40" spans="1:6" x14ac:dyDescent="0.25">
      <c r="A40" s="2" t="s">
        <v>154</v>
      </c>
      <c r="B40" s="2" t="s">
        <v>155</v>
      </c>
      <c r="C40" s="13">
        <v>1</v>
      </c>
      <c r="D40" s="8">
        <f>IFERROR(INDEX(Items!$F$2:$F$138,MATCH(B40,Items!$A$2:$A$138,0)),"")</f>
        <v>324</v>
      </c>
      <c r="E40" s="8">
        <f>IFERROR(INDEX(Items!$E$2:$E$138,MATCH(B40,Items!$A$2:$A$138,0)),"")</f>
        <v>150</v>
      </c>
      <c r="F40" s="2" t="s">
        <v>436</v>
      </c>
    </row>
    <row r="41" spans="1:6" x14ac:dyDescent="0.25">
      <c r="A41" s="2" t="s">
        <v>154</v>
      </c>
      <c r="B41" s="2" t="s">
        <v>264</v>
      </c>
      <c r="C41" s="13">
        <v>1</v>
      </c>
      <c r="D41" s="8">
        <f>IFERROR(INDEX(Items!$F$2:$F$138,MATCH(B41,Items!$A$2:$A$138,0)),"")</f>
        <v>159</v>
      </c>
      <c r="E41" s="8">
        <f>IFERROR(INDEX(Items!$E$2:$E$138,MATCH(B41,Items!$A$2:$A$138,0)),"")</f>
        <v>79</v>
      </c>
      <c r="F41" s="2" t="s">
        <v>436</v>
      </c>
    </row>
    <row r="42" spans="1:6" x14ac:dyDescent="0.25">
      <c r="A42" s="2" t="s">
        <v>154</v>
      </c>
      <c r="B42" s="2" t="s">
        <v>278</v>
      </c>
      <c r="C42" s="13">
        <v>1</v>
      </c>
      <c r="D42" s="8">
        <f>IFERROR(INDEX(Items!$F$2:$F$138,MATCH(B42,Items!$A$2:$A$138,0)),"")</f>
        <v>349</v>
      </c>
      <c r="E42" s="8">
        <f>IFERROR(INDEX(Items!$E$2:$E$138,MATCH(B42,Items!$A$2:$A$138,0)),"")</f>
        <v>200</v>
      </c>
      <c r="F42" s="2" t="s">
        <v>436</v>
      </c>
    </row>
    <row r="43" spans="1:6" x14ac:dyDescent="0.25">
      <c r="A43" s="2" t="s">
        <v>154</v>
      </c>
      <c r="B43" s="2" t="s">
        <v>286</v>
      </c>
      <c r="C43" s="13">
        <v>0.75</v>
      </c>
      <c r="D43" s="8">
        <f>IFERROR(INDEX(Items!$F$2:$F$138,MATCH(B43,Items!$A$2:$A$138,0)),"")</f>
        <v>3</v>
      </c>
      <c r="E43" s="8">
        <f>IFERROR(INDEX(Items!$E$2:$E$138,MATCH(B43,Items!$A$2:$A$138,0)),"")</f>
        <v>0.5</v>
      </c>
      <c r="F43" s="2" t="s">
        <v>436</v>
      </c>
    </row>
    <row r="44" spans="1:6" x14ac:dyDescent="0.25">
      <c r="A44" s="2" t="s">
        <v>154</v>
      </c>
      <c r="B44" s="2" t="s">
        <v>220</v>
      </c>
      <c r="C44" s="13">
        <v>0.75</v>
      </c>
      <c r="D44" s="8">
        <f>IFERROR(INDEX(Items!$F$2:$F$138,MATCH(B44,Items!$A$2:$A$138,0)),"")</f>
        <v>3.9</v>
      </c>
      <c r="E44" s="8">
        <f>IFERROR(INDEX(Items!$E$2:$E$138,MATCH(B44,Items!$A$2:$A$138,0)),"")</f>
        <v>0.9</v>
      </c>
      <c r="F44" s="2" t="s">
        <v>436</v>
      </c>
    </row>
    <row r="45" spans="1:6" x14ac:dyDescent="0.25">
      <c r="A45" s="2" t="s">
        <v>311</v>
      </c>
      <c r="B45" s="2" t="s">
        <v>309</v>
      </c>
      <c r="C45" s="13">
        <v>1</v>
      </c>
      <c r="D45" s="8">
        <f>IFERROR(INDEX(Items!$F$2:$F$138,MATCH(B45,Items!$A$2:$A$138,0)),"")</f>
        <v>150</v>
      </c>
      <c r="E45" s="8" t="str">
        <f>IFERROR(INDEX(Items!$E$2:$E$138,MATCH(B45,Items!$A$2:$A$138,0)),"")</f>
        <v/>
      </c>
      <c r="F45" s="2" t="s">
        <v>20</v>
      </c>
    </row>
    <row r="46" spans="1:6" x14ac:dyDescent="0.25">
      <c r="A46" s="2" t="s">
        <v>178</v>
      </c>
      <c r="B46" s="2" t="s">
        <v>175</v>
      </c>
      <c r="C46" s="13">
        <v>1</v>
      </c>
      <c r="D46" s="8">
        <f>IFERROR(INDEX(Items!$F$2:$F$138,MATCH(B46,Items!$A$2:$A$138,0)),"")</f>
        <v>12.5</v>
      </c>
      <c r="E46" s="8">
        <f>IFERROR(INDEX(Items!$E$2:$E$138,MATCH(B46,Items!$A$2:$A$138,0)),"")</f>
        <v>4.75</v>
      </c>
      <c r="F46" s="2" t="s">
        <v>435</v>
      </c>
    </row>
    <row r="47" spans="1:6" x14ac:dyDescent="0.25">
      <c r="A47" s="2" t="s">
        <v>178</v>
      </c>
      <c r="B47" s="2" t="s">
        <v>229</v>
      </c>
      <c r="C47" s="13">
        <v>1</v>
      </c>
      <c r="D47" s="8">
        <f>IFERROR(INDEX(Items!$F$2:$F$138,MATCH(B47,Items!$A$2:$A$138,0)),"")</f>
        <v>6.25</v>
      </c>
      <c r="E47" s="8">
        <f>IFERROR(INDEX(Items!$E$2:$E$138,MATCH(B47,Items!$A$2:$A$138,0)),"")</f>
        <v>2.22</v>
      </c>
      <c r="F47" s="2" t="s">
        <v>435</v>
      </c>
    </row>
    <row r="48" spans="1:6" x14ac:dyDescent="0.25">
      <c r="A48" s="2" t="s">
        <v>178</v>
      </c>
      <c r="B48" s="2" t="s">
        <v>244</v>
      </c>
      <c r="C48" s="13">
        <v>1</v>
      </c>
      <c r="D48" s="8">
        <f>IFERROR(INDEX(Items!$F$2:$F$138,MATCH(B48,Items!$A$2:$A$138,0)),"")</f>
        <v>11.65</v>
      </c>
      <c r="E48" s="8">
        <f>IFERROR(INDEX(Items!$E$2:$E$138,MATCH(B48,Items!$A$2:$A$138,0)),"")</f>
        <v>4.45</v>
      </c>
      <c r="F48" s="2" t="s">
        <v>435</v>
      </c>
    </row>
    <row r="49" spans="1:6" x14ac:dyDescent="0.25">
      <c r="A49" s="2" t="s">
        <v>178</v>
      </c>
      <c r="B49" s="2" t="s">
        <v>273</v>
      </c>
      <c r="C49" s="13">
        <v>1</v>
      </c>
      <c r="D49" s="8">
        <f>IFERROR(INDEX(Items!$F$2:$F$138,MATCH(B49,Items!$A$2:$A$138,0)),"")</f>
        <v>22</v>
      </c>
      <c r="E49" s="8">
        <f>IFERROR(INDEX(Items!$E$2:$E$138,MATCH(B49,Items!$A$2:$A$138,0)),"")</f>
        <v>8</v>
      </c>
      <c r="F49" s="2" t="s">
        <v>435</v>
      </c>
    </row>
    <row r="50" spans="1:6" x14ac:dyDescent="0.25">
      <c r="A50" s="2" t="s">
        <v>178</v>
      </c>
      <c r="B50" s="2" t="s">
        <v>281</v>
      </c>
      <c r="C50" s="13">
        <v>1</v>
      </c>
      <c r="D50" s="8">
        <f>IFERROR(INDEX(Items!$F$2:$F$138,MATCH(B50,Items!$A$2:$A$138,0)),"")</f>
        <v>13</v>
      </c>
      <c r="E50" s="8">
        <f>IFERROR(INDEX(Items!$E$2:$E$138,MATCH(B50,Items!$A$2:$A$138,0)),"")</f>
        <v>4.9</v>
      </c>
      <c r="F50" s="2" t="s">
        <v>435</v>
      </c>
    </row>
    <row r="51" spans="1:6" x14ac:dyDescent="0.25">
      <c r="A51" s="2" t="s">
        <v>178</v>
      </c>
      <c r="B51" s="2" t="s">
        <v>286</v>
      </c>
      <c r="C51" s="13">
        <v>1</v>
      </c>
      <c r="D51" s="8">
        <f>IFERROR(INDEX(Items!$F$2:$F$138,MATCH(B51,Items!$A$2:$A$138,0)),"")</f>
        <v>3</v>
      </c>
      <c r="E51" s="8">
        <f>IFERROR(INDEX(Items!$E$2:$E$138,MATCH(B51,Items!$A$2:$A$138,0)),"")</f>
        <v>0.5</v>
      </c>
      <c r="F51" s="2" t="s">
        <v>435</v>
      </c>
    </row>
    <row r="52" spans="1:6" x14ac:dyDescent="0.25">
      <c r="A52" s="2" t="s">
        <v>178</v>
      </c>
      <c r="B52" s="2" t="s">
        <v>246</v>
      </c>
      <c r="C52" s="13">
        <v>1</v>
      </c>
      <c r="D52" s="8">
        <f>IFERROR(INDEX(Items!$F$2:$F$138,MATCH(B52,Items!$A$2:$A$138,0)),"")</f>
        <v>11.5</v>
      </c>
      <c r="E52" s="8">
        <f>IFERROR(INDEX(Items!$E$2:$E$138,MATCH(B52,Items!$A$2:$A$138,0)),"")</f>
        <v>4.33</v>
      </c>
      <c r="F52" s="2" t="s">
        <v>435</v>
      </c>
    </row>
    <row r="53" spans="1:6" x14ac:dyDescent="0.25">
      <c r="A53" s="2" t="s">
        <v>178</v>
      </c>
      <c r="B53" s="2" t="s">
        <v>158</v>
      </c>
      <c r="C53" s="13">
        <v>0.7</v>
      </c>
      <c r="D53" s="8">
        <f>IFERROR(INDEX(Items!$F$2:$F$138,MATCH(B53,Items!$A$2:$A$138,0)),"")</f>
        <v>2.89</v>
      </c>
      <c r="E53" s="8">
        <f>IFERROR(INDEX(Items!$E$2:$E$138,MATCH(B53,Items!$A$2:$A$138,0)),"")</f>
        <v>0.32</v>
      </c>
      <c r="F53" s="2" t="s">
        <v>435</v>
      </c>
    </row>
    <row r="54" spans="1:6" x14ac:dyDescent="0.25">
      <c r="A54" s="2" t="s">
        <v>178</v>
      </c>
      <c r="B54" s="2" t="s">
        <v>162</v>
      </c>
      <c r="C54" s="13">
        <v>0.4</v>
      </c>
      <c r="D54" s="8">
        <f>IFERROR(INDEX(Items!$F$2:$F$138,MATCH(B54,Items!$A$2:$A$138,0)),"")</f>
        <v>2.35</v>
      </c>
      <c r="E54" s="8">
        <f>IFERROR(INDEX(Items!$E$2:$E$138,MATCH(B54,Items!$A$2:$A$138,0)),"")</f>
        <v>0.26</v>
      </c>
      <c r="F54" s="2" t="s">
        <v>435</v>
      </c>
    </row>
    <row r="55" spans="1:6" x14ac:dyDescent="0.25">
      <c r="A55" s="2" t="s">
        <v>178</v>
      </c>
      <c r="B55" s="2" t="s">
        <v>182</v>
      </c>
      <c r="C55" s="13">
        <v>1</v>
      </c>
      <c r="D55" s="8">
        <f>IFERROR(INDEX(Items!$F$2:$F$138,MATCH(B55,Items!$A$2:$A$138,0)),"")</f>
        <v>14</v>
      </c>
      <c r="E55" s="8">
        <f>IFERROR(INDEX(Items!$E$2:$E$138,MATCH(B55,Items!$A$2:$A$138,0)),"")</f>
        <v>5.2</v>
      </c>
      <c r="F55" s="2" t="s">
        <v>435</v>
      </c>
    </row>
    <row r="56" spans="1:6" x14ac:dyDescent="0.25">
      <c r="A56" s="2" t="s">
        <v>437</v>
      </c>
      <c r="B56" s="2" t="s">
        <v>223</v>
      </c>
      <c r="C56" s="13">
        <v>1</v>
      </c>
      <c r="D56" s="8">
        <f>IFERROR(INDEX(Items!$F$2:$F$138,MATCH(B56,Items!$A$2:$A$138,0)),"")</f>
        <v>25</v>
      </c>
      <c r="E56" s="8">
        <f>IFERROR(INDEX(Items!$E$2:$E$138,MATCH(B56,Items!$A$2:$A$138,0)),"")</f>
        <v>6</v>
      </c>
      <c r="F56" s="2" t="s">
        <v>435</v>
      </c>
    </row>
    <row r="57" spans="1:6" x14ac:dyDescent="0.25">
      <c r="A57" s="2" t="s">
        <v>437</v>
      </c>
      <c r="B57" s="2" t="s">
        <v>226</v>
      </c>
      <c r="C57" s="13">
        <v>1</v>
      </c>
      <c r="D57" s="8">
        <f>IFERROR(INDEX(Items!$F$2:$F$138,MATCH(B57,Items!$A$2:$A$138,0)),"")</f>
        <v>40</v>
      </c>
      <c r="E57" s="8">
        <f>IFERROR(INDEX(Items!$E$2:$E$138,MATCH(B57,Items!$A$2:$A$138,0)),"")</f>
        <v>10</v>
      </c>
      <c r="F57" s="2" t="s">
        <v>435</v>
      </c>
    </row>
    <row r="58" spans="1:6" x14ac:dyDescent="0.25">
      <c r="A58" s="2" t="s">
        <v>437</v>
      </c>
      <c r="B58" s="2" t="s">
        <v>286</v>
      </c>
      <c r="C58" s="13">
        <v>0.8</v>
      </c>
      <c r="D58" s="8">
        <f>IFERROR(INDEX(Items!$F$2:$F$138,MATCH(B58,Items!$A$2:$A$138,0)),"")</f>
        <v>3</v>
      </c>
      <c r="E58" s="8">
        <f>IFERROR(INDEX(Items!$E$2:$E$138,MATCH(B58,Items!$A$2:$A$138,0)),"")</f>
        <v>0.5</v>
      </c>
      <c r="F58" s="2" t="s">
        <v>435</v>
      </c>
    </row>
    <row r="59" spans="1:6" x14ac:dyDescent="0.25">
      <c r="A59" s="2" t="s">
        <v>437</v>
      </c>
      <c r="B59" s="2" t="s">
        <v>220</v>
      </c>
      <c r="C59" s="13">
        <v>0.8</v>
      </c>
      <c r="D59" s="8">
        <f>IFERROR(INDEX(Items!$F$2:$F$138,MATCH(B59,Items!$A$2:$A$138,0)),"")</f>
        <v>3.9</v>
      </c>
      <c r="E59" s="8">
        <f>IFERROR(INDEX(Items!$E$2:$E$138,MATCH(B59,Items!$A$2:$A$138,0)),"")</f>
        <v>0.9</v>
      </c>
      <c r="F59" s="2" t="s">
        <v>435</v>
      </c>
    </row>
    <row r="60" spans="1:6" x14ac:dyDescent="0.25">
      <c r="A60" s="2" t="s">
        <v>437</v>
      </c>
      <c r="B60" s="2" t="s">
        <v>236</v>
      </c>
      <c r="C60" s="13">
        <v>0.6</v>
      </c>
      <c r="D60" s="8">
        <f>IFERROR(INDEX(Items!$F$2:$F$138,MATCH(B60,Items!$A$2:$A$138,0)),"")</f>
        <v>18</v>
      </c>
      <c r="E60" s="8">
        <f>IFERROR(INDEX(Items!$E$2:$E$138,MATCH(B60,Items!$A$2:$A$138,0)),"")</f>
        <v>5</v>
      </c>
      <c r="F60" s="2" t="s">
        <v>435</v>
      </c>
    </row>
    <row r="61" spans="1:6" x14ac:dyDescent="0.25">
      <c r="A61" s="2" t="s">
        <v>437</v>
      </c>
      <c r="B61" s="2" t="s">
        <v>239</v>
      </c>
      <c r="C61" s="13">
        <v>0.6</v>
      </c>
      <c r="D61" s="8">
        <f>IFERROR(INDEX(Items!$F$2:$F$138,MATCH(B61,Items!$A$2:$A$138,0)),"")</f>
        <v>32</v>
      </c>
      <c r="E61" s="8">
        <f>IFERROR(INDEX(Items!$E$2:$E$138,MATCH(B61,Items!$A$2:$A$138,0)),"")</f>
        <v>7</v>
      </c>
      <c r="F61" s="2" t="s">
        <v>435</v>
      </c>
    </row>
    <row r="62" spans="1:6" x14ac:dyDescent="0.25">
      <c r="A62" s="2" t="s">
        <v>437</v>
      </c>
      <c r="B62" s="2" t="s">
        <v>292</v>
      </c>
      <c r="C62" s="13">
        <v>0.75</v>
      </c>
      <c r="D62" s="8">
        <f>IFERROR(INDEX(Items!$F$2:$F$138,MATCH(B62,Items!$A$2:$A$138,0)),"")</f>
        <v>24</v>
      </c>
      <c r="E62" s="8">
        <f>IFERROR(INDEX(Items!$E$2:$E$138,MATCH(B62,Items!$A$2:$A$138,0)),"")</f>
        <v>7</v>
      </c>
      <c r="F62" s="2" t="s">
        <v>435</v>
      </c>
    </row>
    <row r="63" spans="1:6" x14ac:dyDescent="0.25">
      <c r="A63" s="2" t="s">
        <v>438</v>
      </c>
      <c r="B63" s="2" t="s">
        <v>158</v>
      </c>
      <c r="C63" s="13">
        <v>1</v>
      </c>
      <c r="D63" s="8">
        <f>IFERROR(INDEX(Items!$F$2:$F$138,MATCH(B63,Items!$A$2:$A$138,0)),"")</f>
        <v>2.89</v>
      </c>
      <c r="E63" s="8">
        <f>IFERROR(INDEX(Items!$E$2:$E$138,MATCH(B63,Items!$A$2:$A$138,0)),"")</f>
        <v>0.32</v>
      </c>
      <c r="F63" s="2" t="s">
        <v>435</v>
      </c>
    </row>
    <row r="64" spans="1:6" x14ac:dyDescent="0.25">
      <c r="A64" s="2" t="s">
        <v>438</v>
      </c>
      <c r="B64" s="2" t="s">
        <v>162</v>
      </c>
      <c r="C64" s="13">
        <v>1</v>
      </c>
      <c r="D64" s="8">
        <f>IFERROR(INDEX(Items!$F$2:$F$138,MATCH(B64,Items!$A$2:$A$138,0)),"")</f>
        <v>2.35</v>
      </c>
      <c r="E64" s="8">
        <f>IFERROR(INDEX(Items!$E$2:$E$138,MATCH(B64,Items!$A$2:$A$138,0)),"")</f>
        <v>0.26</v>
      </c>
      <c r="F64" s="2" t="s">
        <v>435</v>
      </c>
    </row>
    <row r="65" spans="1:6" x14ac:dyDescent="0.25">
      <c r="A65" s="2" t="s">
        <v>438</v>
      </c>
      <c r="B65" s="2" t="s">
        <v>164</v>
      </c>
      <c r="C65" s="13">
        <v>1</v>
      </c>
      <c r="D65" s="8">
        <f>IFERROR(INDEX(Items!$F$2:$F$138,MATCH(B65,Items!$A$2:$A$138,0)),"")</f>
        <v>2.24</v>
      </c>
      <c r="E65" s="8">
        <f>IFERROR(INDEX(Items!$E$2:$E$138,MATCH(B65,Items!$A$2:$A$138,0)),"")</f>
        <v>0.28</v>
      </c>
      <c r="F65" s="2" t="s">
        <v>435</v>
      </c>
    </row>
    <row r="66" spans="1:6" x14ac:dyDescent="0.25">
      <c r="A66" s="2" t="s">
        <v>438</v>
      </c>
      <c r="B66" s="2" t="s">
        <v>143</v>
      </c>
      <c r="C66" s="13">
        <v>1</v>
      </c>
      <c r="D66" s="8">
        <f>IFERROR(INDEX(Items!$F$2:$F$138,MATCH(B66,Items!$A$2:$A$138,0)),"")</f>
        <v>2.12</v>
      </c>
      <c r="E66" s="8">
        <f>IFERROR(INDEX(Items!$E$2:$E$138,MATCH(B66,Items!$A$2:$A$138,0)),"")</f>
        <v>0.28</v>
      </c>
      <c r="F66" s="2" t="s">
        <v>435</v>
      </c>
    </row>
    <row r="67" spans="1:6" x14ac:dyDescent="0.25">
      <c r="A67" s="2" t="s">
        <v>438</v>
      </c>
      <c r="B67" s="2" t="s">
        <v>166</v>
      </c>
      <c r="C67" s="13">
        <v>1</v>
      </c>
      <c r="D67" s="8">
        <f>IFERROR(INDEX(Items!$F$2:$F$138,MATCH(B67,Items!$A$2:$A$138,0)),"")</f>
        <v>2.62</v>
      </c>
      <c r="E67" s="8">
        <f>IFERROR(INDEX(Items!$E$2:$E$138,MATCH(B67,Items!$A$2:$A$138,0)),"")</f>
        <v>0.29</v>
      </c>
      <c r="F67" s="2" t="s">
        <v>435</v>
      </c>
    </row>
    <row r="68" spans="1:6" x14ac:dyDescent="0.25">
      <c r="A68" s="2" t="s">
        <v>438</v>
      </c>
      <c r="B68" s="2" t="s">
        <v>148</v>
      </c>
      <c r="C68" s="13">
        <v>1</v>
      </c>
      <c r="D68" s="8">
        <f>IFERROR(INDEX(Items!$F$2:$F$138,MATCH(B68,Items!$A$2:$A$138,0)),"")</f>
        <v>2.56</v>
      </c>
      <c r="E68" s="8">
        <f>IFERROR(INDEX(Items!$E$2:$E$138,MATCH(B68,Items!$A$2:$A$138,0)),"")</f>
        <v>0.29</v>
      </c>
      <c r="F68" s="2" t="s">
        <v>435</v>
      </c>
    </row>
    <row r="69" spans="1:6" x14ac:dyDescent="0.25">
      <c r="A69" s="2" t="s">
        <v>438</v>
      </c>
      <c r="B69" s="2" t="s">
        <v>281</v>
      </c>
      <c r="C69" s="13">
        <v>0.7</v>
      </c>
      <c r="D69" s="8">
        <f>IFERROR(INDEX(Items!$F$2:$F$138,MATCH(B69,Items!$A$2:$A$138,0)),"")</f>
        <v>13</v>
      </c>
      <c r="E69" s="8">
        <f>IFERROR(INDEX(Items!$E$2:$E$138,MATCH(B69,Items!$A$2:$A$138,0)),"")</f>
        <v>4.9</v>
      </c>
      <c r="F69" s="2" t="s">
        <v>435</v>
      </c>
    </row>
    <row r="70" spans="1:6" x14ac:dyDescent="0.25">
      <c r="A70" s="2" t="s">
        <v>439</v>
      </c>
      <c r="B70" s="2" t="s">
        <v>236</v>
      </c>
      <c r="C70" s="13">
        <v>1</v>
      </c>
      <c r="D70" s="8">
        <f>IFERROR(INDEX(Items!$F$2:$F$138,MATCH(B70,Items!$A$2:$A$138,0)),"")</f>
        <v>18</v>
      </c>
      <c r="E70" s="8">
        <f>IFERROR(INDEX(Items!$E$2:$E$138,MATCH(B70,Items!$A$2:$A$138,0)),"")</f>
        <v>5</v>
      </c>
      <c r="F70" s="2" t="s">
        <v>440</v>
      </c>
    </row>
    <row r="71" spans="1:6" x14ac:dyDescent="0.25">
      <c r="A71" s="2" t="s">
        <v>439</v>
      </c>
      <c r="B71" s="2" t="s">
        <v>239</v>
      </c>
      <c r="C71" s="13">
        <v>1</v>
      </c>
      <c r="D71" s="8">
        <f>IFERROR(INDEX(Items!$F$2:$F$138,MATCH(B71,Items!$A$2:$A$138,0)),"")</f>
        <v>32</v>
      </c>
      <c r="E71" s="8">
        <f>IFERROR(INDEX(Items!$E$2:$E$138,MATCH(B71,Items!$A$2:$A$138,0)),"")</f>
        <v>7</v>
      </c>
      <c r="F71" s="2" t="s">
        <v>440</v>
      </c>
    </row>
    <row r="72" spans="1:6" x14ac:dyDescent="0.25">
      <c r="A72" s="2" t="s">
        <v>439</v>
      </c>
      <c r="B72" s="2" t="s">
        <v>223</v>
      </c>
      <c r="C72" s="13">
        <v>0.6</v>
      </c>
      <c r="D72" s="8">
        <f>IFERROR(INDEX(Items!$F$2:$F$138,MATCH(B72,Items!$A$2:$A$138,0)),"")</f>
        <v>25</v>
      </c>
      <c r="E72" s="8">
        <f>IFERROR(INDEX(Items!$E$2:$E$138,MATCH(B72,Items!$A$2:$A$138,0)),"")</f>
        <v>6</v>
      </c>
      <c r="F72" s="2" t="s">
        <v>440</v>
      </c>
    </row>
    <row r="73" spans="1:6" x14ac:dyDescent="0.25">
      <c r="A73" s="2" t="s">
        <v>439</v>
      </c>
      <c r="B73" s="2" t="s">
        <v>226</v>
      </c>
      <c r="C73" s="13">
        <v>0.6</v>
      </c>
      <c r="D73" s="8">
        <f>IFERROR(INDEX(Items!$F$2:$F$138,MATCH(B73,Items!$A$2:$A$138,0)),"")</f>
        <v>40</v>
      </c>
      <c r="E73" s="8">
        <f>IFERROR(INDEX(Items!$E$2:$E$138,MATCH(B73,Items!$A$2:$A$138,0)),"")</f>
        <v>10</v>
      </c>
      <c r="F73" s="2" t="s">
        <v>440</v>
      </c>
    </row>
    <row r="74" spans="1:6" x14ac:dyDescent="0.25">
      <c r="A74" s="2" t="s">
        <v>439</v>
      </c>
      <c r="B74" s="2" t="s">
        <v>292</v>
      </c>
      <c r="C74" s="13">
        <v>1</v>
      </c>
      <c r="D74" s="8">
        <f>IFERROR(INDEX(Items!$F$2:$F$138,MATCH(B74,Items!$A$2:$A$138,0)),"")</f>
        <v>24</v>
      </c>
      <c r="E74" s="8">
        <f>IFERROR(INDEX(Items!$E$2:$E$138,MATCH(B74,Items!$A$2:$A$138,0)),"")</f>
        <v>7</v>
      </c>
      <c r="F74" s="2" t="s">
        <v>440</v>
      </c>
    </row>
    <row r="75" spans="1:6" x14ac:dyDescent="0.25">
      <c r="A75" s="2" t="s">
        <v>439</v>
      </c>
      <c r="B75" s="2" t="s">
        <v>286</v>
      </c>
      <c r="C75" s="13">
        <v>0.9</v>
      </c>
      <c r="D75" s="8">
        <f>IFERROR(INDEX(Items!$F$2:$F$138,MATCH(B75,Items!$A$2:$A$138,0)),"")</f>
        <v>3</v>
      </c>
      <c r="E75" s="8">
        <f>IFERROR(INDEX(Items!$E$2:$E$138,MATCH(B75,Items!$A$2:$A$138,0)),"")</f>
        <v>0.5</v>
      </c>
      <c r="F75" s="2" t="s">
        <v>440</v>
      </c>
    </row>
    <row r="76" spans="1:6" x14ac:dyDescent="0.25">
      <c r="A76" s="2" t="s">
        <v>439</v>
      </c>
      <c r="B76" s="2" t="s">
        <v>220</v>
      </c>
      <c r="C76" s="13">
        <v>0.9</v>
      </c>
      <c r="D76" s="8">
        <f>IFERROR(INDEX(Items!$F$2:$F$138,MATCH(B76,Items!$A$2:$A$138,0)),"")</f>
        <v>3.9</v>
      </c>
      <c r="E76" s="8">
        <f>IFERROR(INDEX(Items!$E$2:$E$138,MATCH(B76,Items!$A$2:$A$138,0)),"")</f>
        <v>0.9</v>
      </c>
      <c r="F76" s="2" t="s">
        <v>440</v>
      </c>
    </row>
    <row r="77" spans="1:6" x14ac:dyDescent="0.25">
      <c r="A77" s="2" t="s">
        <v>439</v>
      </c>
      <c r="B77" s="2" t="s">
        <v>300</v>
      </c>
      <c r="C77" s="13">
        <v>0.2</v>
      </c>
      <c r="D77" s="8">
        <f>IFERROR(INDEX(Items!$F$2:$F$138,MATCH(B77,Items!$A$2:$A$138,0)),"")</f>
        <v>399</v>
      </c>
      <c r="E77" s="8">
        <f>IFERROR(INDEX(Items!$E$2:$E$138,MATCH(B77,Items!$A$2:$A$138,0)),"")</f>
        <v>250</v>
      </c>
      <c r="F77" s="2" t="s">
        <v>440</v>
      </c>
    </row>
    <row r="78" spans="1:6" x14ac:dyDescent="0.25">
      <c r="A78" s="2" t="s">
        <v>439</v>
      </c>
      <c r="B78" s="2" t="s">
        <v>155</v>
      </c>
      <c r="C78" s="13">
        <v>0.2</v>
      </c>
      <c r="D78" s="8">
        <f>IFERROR(INDEX(Items!$F$2:$F$138,MATCH(B78,Items!$A$2:$A$138,0)),"")</f>
        <v>324</v>
      </c>
      <c r="E78" s="8">
        <f>IFERROR(INDEX(Items!$E$2:$E$138,MATCH(B78,Items!$A$2:$A$138,0)),"")</f>
        <v>150</v>
      </c>
      <c r="F78" s="2" t="s">
        <v>440</v>
      </c>
    </row>
    <row r="79" spans="1:6" x14ac:dyDescent="0.25">
      <c r="A79" s="2" t="s">
        <v>439</v>
      </c>
      <c r="B79" s="2" t="s">
        <v>278</v>
      </c>
      <c r="C79" s="13">
        <v>0.2</v>
      </c>
      <c r="D79" s="8">
        <f>IFERROR(INDEX(Items!$F$2:$F$138,MATCH(B79,Items!$A$2:$A$138,0)),"")</f>
        <v>349</v>
      </c>
      <c r="E79" s="8">
        <f>IFERROR(INDEX(Items!$E$2:$E$138,MATCH(B79,Items!$A$2:$A$138,0)),"")</f>
        <v>200</v>
      </c>
      <c r="F79" s="2" t="s">
        <v>440</v>
      </c>
    </row>
    <row r="80" spans="1:6" x14ac:dyDescent="0.25">
      <c r="A80" s="2" t="s">
        <v>439</v>
      </c>
      <c r="B80" s="2" t="s">
        <v>264</v>
      </c>
      <c r="C80" s="13">
        <v>0.2</v>
      </c>
      <c r="D80" s="8">
        <f>IFERROR(INDEX(Items!$F$2:$F$138,MATCH(B80,Items!$A$2:$A$138,0)),"")</f>
        <v>159</v>
      </c>
      <c r="E80" s="8">
        <f>IFERROR(INDEX(Items!$E$2:$E$138,MATCH(B80,Items!$A$2:$A$138,0)),"")</f>
        <v>79</v>
      </c>
      <c r="F80" s="2" t="s">
        <v>440</v>
      </c>
    </row>
    <row r="81" spans="1:6" x14ac:dyDescent="0.25">
      <c r="A81" s="2" t="s">
        <v>314</v>
      </c>
      <c r="B81" s="2" t="s">
        <v>312</v>
      </c>
      <c r="C81" s="13">
        <v>1</v>
      </c>
      <c r="D81" s="8">
        <f>IFERROR(INDEX(Items!$F$2:$F$138,MATCH(B81,Items!$A$2:$A$138,0)),"")</f>
        <v>160</v>
      </c>
      <c r="E81" s="8" t="str">
        <f>IFERROR(INDEX(Items!$E$2:$E$138,MATCH(B81,Items!$A$2:$A$138,0)),"")</f>
        <v/>
      </c>
      <c r="F81" s="2" t="s">
        <v>20</v>
      </c>
    </row>
    <row r="82" spans="1:6" x14ac:dyDescent="0.25">
      <c r="A82" s="2" t="s">
        <v>317</v>
      </c>
      <c r="B82" s="2" t="s">
        <v>315</v>
      </c>
      <c r="C82" s="13">
        <v>1</v>
      </c>
      <c r="D82" s="8">
        <f>IFERROR(INDEX(Items!$F$2:$F$138,MATCH(B82,Items!$A$2:$A$138,0)),"")</f>
        <v>20</v>
      </c>
      <c r="E82" s="8" t="str">
        <f>IFERROR(INDEX(Items!$E$2:$E$138,MATCH(B82,Items!$A$2:$A$138,0)),"")</f>
        <v/>
      </c>
      <c r="F82" s="2" t="s">
        <v>435</v>
      </c>
    </row>
    <row r="83" spans="1:6" x14ac:dyDescent="0.25">
      <c r="A83" s="2" t="s">
        <v>317</v>
      </c>
      <c r="B83" s="2" t="s">
        <v>220</v>
      </c>
      <c r="C83" s="13">
        <v>1</v>
      </c>
      <c r="D83" s="8">
        <f>IFERROR(INDEX(Items!$F$2:$F$138,MATCH(B83,Items!$A$2:$A$138,0)),"")</f>
        <v>3.9</v>
      </c>
      <c r="E83" s="8">
        <f>IFERROR(INDEX(Items!$E$2:$E$138,MATCH(B83,Items!$A$2:$A$138,0)),"")</f>
        <v>0.9</v>
      </c>
      <c r="F83" s="2" t="s">
        <v>435</v>
      </c>
    </row>
    <row r="84" spans="1:6" x14ac:dyDescent="0.25">
      <c r="A84" s="2" t="s">
        <v>317</v>
      </c>
      <c r="B84" s="2" t="s">
        <v>286</v>
      </c>
      <c r="C84" s="13">
        <v>1</v>
      </c>
      <c r="D84" s="8">
        <f>IFERROR(INDEX(Items!$F$2:$F$138,MATCH(B84,Items!$A$2:$A$138,0)),"")</f>
        <v>3</v>
      </c>
      <c r="E84" s="8">
        <f>IFERROR(INDEX(Items!$E$2:$E$138,MATCH(B84,Items!$A$2:$A$138,0)),"")</f>
        <v>0.5</v>
      </c>
      <c r="F84" s="2" t="s">
        <v>435</v>
      </c>
    </row>
    <row r="85" spans="1:6" x14ac:dyDescent="0.25">
      <c r="A85" s="2" t="s">
        <v>243</v>
      </c>
      <c r="B85" s="2" t="s">
        <v>322</v>
      </c>
      <c r="C85" s="13">
        <v>1</v>
      </c>
      <c r="D85" s="8">
        <f>IFERROR(INDEX(Items!$F$2:$F$138,MATCH(B85,Items!$A$2:$A$138,0)),"")</f>
        <v>60</v>
      </c>
      <c r="E85" s="8" t="str">
        <f>IFERROR(INDEX(Items!$E$2:$E$138,MATCH(B85,Items!$A$2:$A$138,0)),"")</f>
        <v/>
      </c>
      <c r="F85" s="2" t="s">
        <v>435</v>
      </c>
    </row>
    <row r="86" spans="1:6" x14ac:dyDescent="0.25">
      <c r="A86" s="2" t="s">
        <v>243</v>
      </c>
      <c r="B86" s="2" t="s">
        <v>318</v>
      </c>
      <c r="C86" s="13">
        <v>1</v>
      </c>
      <c r="D86" s="8">
        <f>IFERROR(INDEX(Items!$F$2:$F$138,MATCH(B86,Items!$A$2:$A$138,0)),"")</f>
        <v>150</v>
      </c>
      <c r="E86" s="8" t="str">
        <f>IFERROR(INDEX(Items!$E$2:$E$138,MATCH(B86,Items!$A$2:$A$138,0)),"")</f>
        <v/>
      </c>
      <c r="F86" s="2" t="s">
        <v>435</v>
      </c>
    </row>
    <row r="87" spans="1:6" x14ac:dyDescent="0.25">
      <c r="A87" s="2" t="s">
        <v>243</v>
      </c>
      <c r="B87" s="2" t="s">
        <v>320</v>
      </c>
      <c r="C87" s="13">
        <v>1</v>
      </c>
      <c r="D87" s="8">
        <f>IFERROR(INDEX(Items!$F$2:$F$138,MATCH(B87,Items!$A$2:$A$138,0)),"")</f>
        <v>80</v>
      </c>
      <c r="E87" s="8" t="str">
        <f>IFERROR(INDEX(Items!$E$2:$E$138,MATCH(B87,Items!$A$2:$A$138,0)),"")</f>
        <v/>
      </c>
      <c r="F87" s="2" t="s">
        <v>435</v>
      </c>
    </row>
    <row r="88" spans="1:6" x14ac:dyDescent="0.25">
      <c r="A88" s="2" t="s">
        <v>243</v>
      </c>
      <c r="B88" s="2" t="s">
        <v>324</v>
      </c>
      <c r="C88" s="13">
        <v>1</v>
      </c>
      <c r="D88" s="8">
        <f>IFERROR(INDEX(Items!$F$2:$F$138,MATCH(B88,Items!$A$2:$A$138,0)),"")</f>
        <v>105</v>
      </c>
      <c r="E88" s="8" t="str">
        <f>IFERROR(INDEX(Items!$E$2:$E$138,MATCH(B88,Items!$A$2:$A$138,0)),"")</f>
        <v/>
      </c>
      <c r="F88" s="2" t="s">
        <v>435</v>
      </c>
    </row>
    <row r="89" spans="1:6" x14ac:dyDescent="0.25">
      <c r="A89" s="2" t="s">
        <v>243</v>
      </c>
      <c r="B89" s="2" t="s">
        <v>241</v>
      </c>
      <c r="C89" s="13">
        <v>1</v>
      </c>
      <c r="D89" s="8">
        <f>IFERROR(INDEX(Items!$F$2:$F$138,MATCH(B89,Items!$A$2:$A$138,0)),"")</f>
        <v>19</v>
      </c>
      <c r="E89" s="8">
        <f>IFERROR(INDEX(Items!$E$2:$E$138,MATCH(B89,Items!$A$2:$A$138,0)),"")</f>
        <v>9</v>
      </c>
      <c r="F89" s="2" t="s">
        <v>435</v>
      </c>
    </row>
    <row r="90" spans="1:6" x14ac:dyDescent="0.25">
      <c r="A90" s="2" t="s">
        <v>441</v>
      </c>
      <c r="B90" s="2" t="s">
        <v>249</v>
      </c>
      <c r="C90" s="13">
        <v>1</v>
      </c>
      <c r="D90" s="8">
        <f>IFERROR(INDEX(Items!$F$2:$F$138,MATCH(B90,Items!$A$2:$A$138,0)),"")</f>
        <v>160</v>
      </c>
      <c r="E90" s="8">
        <f>IFERROR(INDEX(Items!$E$2:$E$138,MATCH(B90,Items!$A$2:$A$138,0)),"")</f>
        <v>91</v>
      </c>
      <c r="F90" s="2" t="s">
        <v>436</v>
      </c>
    </row>
    <row r="91" spans="1:6" x14ac:dyDescent="0.25">
      <c r="A91" s="2" t="s">
        <v>441</v>
      </c>
      <c r="B91" s="2" t="s">
        <v>252</v>
      </c>
      <c r="C91" s="13">
        <v>1</v>
      </c>
      <c r="D91" s="8">
        <f>IFERROR(INDEX(Items!$F$2:$F$138,MATCH(B91,Items!$A$2:$A$138,0)),"")</f>
        <v>1270</v>
      </c>
      <c r="E91" s="8">
        <f>IFERROR(INDEX(Items!$E$2:$E$138,MATCH(B91,Items!$A$2:$A$138,0)),"")</f>
        <v>768</v>
      </c>
      <c r="F91" s="2" t="s">
        <v>436</v>
      </c>
    </row>
    <row r="92" spans="1:6" x14ac:dyDescent="0.25">
      <c r="A92" s="2" t="s">
        <v>441</v>
      </c>
      <c r="B92" s="2" t="s">
        <v>300</v>
      </c>
      <c r="C92" s="13">
        <v>0.5</v>
      </c>
      <c r="D92" s="8">
        <f>IFERROR(INDEX(Items!$F$2:$F$138,MATCH(B92,Items!$A$2:$A$138,0)),"")</f>
        <v>399</v>
      </c>
      <c r="E92" s="8">
        <f>IFERROR(INDEX(Items!$E$2:$E$138,MATCH(B92,Items!$A$2:$A$138,0)),"")</f>
        <v>250</v>
      </c>
      <c r="F92" s="2" t="s">
        <v>436</v>
      </c>
    </row>
    <row r="93" spans="1:6" x14ac:dyDescent="0.25">
      <c r="A93" s="2" t="s">
        <v>441</v>
      </c>
      <c r="B93" s="2" t="s">
        <v>155</v>
      </c>
      <c r="C93" s="13">
        <v>0.5</v>
      </c>
      <c r="D93" s="8">
        <f>IFERROR(INDEX(Items!$F$2:$F$138,MATCH(B93,Items!$A$2:$A$138,0)),"")</f>
        <v>324</v>
      </c>
      <c r="E93" s="8">
        <f>IFERROR(INDEX(Items!$E$2:$E$138,MATCH(B93,Items!$A$2:$A$138,0)),"")</f>
        <v>150</v>
      </c>
      <c r="F93" s="2" t="s">
        <v>436</v>
      </c>
    </row>
    <row r="94" spans="1:6" x14ac:dyDescent="0.25">
      <c r="A94" s="2" t="s">
        <v>328</v>
      </c>
      <c r="B94" s="2" t="s">
        <v>326</v>
      </c>
      <c r="C94" s="13">
        <v>1</v>
      </c>
      <c r="D94" s="8">
        <f>IFERROR(INDEX(Items!$F$2:$F$138,MATCH(B94,Items!$A$2:$A$138,0)),"")</f>
        <v>225</v>
      </c>
      <c r="E94" s="8" t="str">
        <f>IFERROR(INDEX(Items!$E$2:$E$138,MATCH(B94,Items!$A$2:$A$138,0)),"")</f>
        <v/>
      </c>
      <c r="F94" s="2" t="s">
        <v>20</v>
      </c>
    </row>
    <row r="95" spans="1:6" x14ac:dyDescent="0.25">
      <c r="A95" s="2" t="s">
        <v>186</v>
      </c>
      <c r="B95" s="2" t="s">
        <v>172</v>
      </c>
      <c r="C95" s="13">
        <v>1</v>
      </c>
      <c r="D95" s="8">
        <f>IFERROR(INDEX(Items!$F$2:$F$138,MATCH(B95,Items!$A$2:$A$138,0)),"")</f>
        <v>21</v>
      </c>
      <c r="E95" s="8">
        <f>IFERROR(INDEX(Items!$E$2:$E$138,MATCH(B95,Items!$A$2:$A$138,0)),"")</f>
        <v>5.8</v>
      </c>
      <c r="F95" s="2" t="s">
        <v>347</v>
      </c>
    </row>
    <row r="96" spans="1:6" x14ac:dyDescent="0.25">
      <c r="A96" s="2" t="s">
        <v>186</v>
      </c>
      <c r="B96" s="2" t="s">
        <v>168</v>
      </c>
      <c r="C96" s="13">
        <v>1</v>
      </c>
      <c r="D96" s="8">
        <f>IFERROR(INDEX(Items!$F$2:$F$138,MATCH(B96,Items!$A$2:$A$138,0)),"")</f>
        <v>12</v>
      </c>
      <c r="E96" s="8">
        <f>IFERROR(INDEX(Items!$E$2:$E$138,MATCH(B96,Items!$A$2:$A$138,0)),"")</f>
        <v>2</v>
      </c>
      <c r="F96" s="2" t="s">
        <v>347</v>
      </c>
    </row>
    <row r="97" spans="1:6" x14ac:dyDescent="0.25">
      <c r="A97" s="2" t="s">
        <v>186</v>
      </c>
      <c r="B97" s="2" t="s">
        <v>294</v>
      </c>
      <c r="C97" s="13">
        <v>1</v>
      </c>
      <c r="D97" s="8">
        <f>IFERROR(INDEX(Items!$F$2:$F$138,MATCH(B97,Items!$A$2:$A$138,0)),"")</f>
        <v>26</v>
      </c>
      <c r="E97" s="8">
        <f>IFERROR(INDEX(Items!$E$2:$E$138,MATCH(B97,Items!$A$2:$A$138,0)),"")</f>
        <v>8</v>
      </c>
      <c r="F97" s="2" t="s">
        <v>347</v>
      </c>
    </row>
    <row r="98" spans="1:6" x14ac:dyDescent="0.25">
      <c r="A98" s="2" t="s">
        <v>186</v>
      </c>
      <c r="B98" s="2" t="s">
        <v>184</v>
      </c>
      <c r="C98" s="13">
        <v>1</v>
      </c>
      <c r="D98" s="8">
        <f>IFERROR(INDEX(Items!$F$2:$F$138,MATCH(B98,Items!$A$2:$A$138,0)),"")</f>
        <v>12</v>
      </c>
      <c r="E98" s="8">
        <f>IFERROR(INDEX(Items!$E$2:$E$138,MATCH(B98,Items!$A$2:$A$138,0)),"")</f>
        <v>3.6</v>
      </c>
      <c r="F98" s="2" t="s">
        <v>347</v>
      </c>
    </row>
    <row r="99" spans="1:6" x14ac:dyDescent="0.25">
      <c r="A99" s="2" t="s">
        <v>186</v>
      </c>
      <c r="B99" s="2" t="s">
        <v>269</v>
      </c>
      <c r="C99" s="13">
        <v>1</v>
      </c>
      <c r="D99" s="8">
        <f>IFERROR(INDEX(Items!$F$2:$F$138,MATCH(B99,Items!$A$2:$A$138,0)),"")</f>
        <v>10</v>
      </c>
      <c r="E99" s="8">
        <f>IFERROR(INDEX(Items!$E$2:$E$138,MATCH(B99,Items!$A$2:$A$138,0)),"")</f>
        <v>3.2</v>
      </c>
      <c r="F99" s="2" t="s">
        <v>347</v>
      </c>
    </row>
    <row r="100" spans="1:6" x14ac:dyDescent="0.25">
      <c r="A100" s="2" t="s">
        <v>186</v>
      </c>
      <c r="B100" s="2" t="s">
        <v>257</v>
      </c>
      <c r="C100" s="13">
        <v>0.7</v>
      </c>
      <c r="D100" s="8">
        <f>IFERROR(INDEX(Items!$F$2:$F$138,MATCH(B100,Items!$A$2:$A$138,0)),"")</f>
        <v>16</v>
      </c>
      <c r="E100" s="8">
        <f>IFERROR(INDEX(Items!$E$2:$E$138,MATCH(B100,Items!$A$2:$A$138,0)),"")</f>
        <v>4</v>
      </c>
      <c r="F100" s="2" t="s">
        <v>347</v>
      </c>
    </row>
    <row r="101" spans="1:6" x14ac:dyDescent="0.25">
      <c r="A101" s="2" t="s">
        <v>186</v>
      </c>
      <c r="B101" s="2" t="s">
        <v>259</v>
      </c>
      <c r="C101" s="13">
        <v>0.7</v>
      </c>
      <c r="D101" s="8">
        <f>IFERROR(INDEX(Items!$F$2:$F$138,MATCH(B101,Items!$A$2:$A$138,0)),"")</f>
        <v>20</v>
      </c>
      <c r="E101" s="8">
        <f>IFERROR(INDEX(Items!$E$2:$E$138,MATCH(B101,Items!$A$2:$A$138,0)),"")</f>
        <v>5</v>
      </c>
      <c r="F101" s="2" t="s">
        <v>347</v>
      </c>
    </row>
    <row r="102" spans="1:6" x14ac:dyDescent="0.25">
      <c r="A102" s="2" t="s">
        <v>186</v>
      </c>
      <c r="B102" s="2" t="s">
        <v>286</v>
      </c>
      <c r="C102" s="13">
        <v>0.85</v>
      </c>
      <c r="D102" s="8">
        <f>IFERROR(INDEX(Items!$F$2:$F$138,MATCH(B102,Items!$A$2:$A$138,0)),"")</f>
        <v>3</v>
      </c>
      <c r="E102" s="8">
        <f>IFERROR(INDEX(Items!$E$2:$E$138,MATCH(B102,Items!$A$2:$A$138,0)),"")</f>
        <v>0.5</v>
      </c>
      <c r="F102" s="2" t="s">
        <v>347</v>
      </c>
    </row>
    <row r="103" spans="1:6" x14ac:dyDescent="0.25">
      <c r="A103" s="2" t="s">
        <v>186</v>
      </c>
      <c r="B103" s="2" t="s">
        <v>220</v>
      </c>
      <c r="C103" s="13">
        <v>0.85</v>
      </c>
      <c r="D103" s="8">
        <f>IFERROR(INDEX(Items!$F$2:$F$138,MATCH(B103,Items!$A$2:$A$138,0)),"")</f>
        <v>3.9</v>
      </c>
      <c r="E103" s="8">
        <f>IFERROR(INDEX(Items!$E$2:$E$138,MATCH(B103,Items!$A$2:$A$138,0)),"")</f>
        <v>0.9</v>
      </c>
      <c r="F103" s="2" t="s">
        <v>347</v>
      </c>
    </row>
    <row r="104" spans="1:6" x14ac:dyDescent="0.25">
      <c r="A104" s="2" t="s">
        <v>308</v>
      </c>
      <c r="B104" s="2" t="s">
        <v>329</v>
      </c>
      <c r="C104" s="13">
        <v>1</v>
      </c>
      <c r="D104" s="8">
        <f>IFERROR(INDEX(Items!$F$2:$F$138,MATCH(B104,Items!$A$2:$A$138,0)),"")</f>
        <v>15</v>
      </c>
      <c r="E104" s="8" t="str">
        <f>IFERROR(INDEX(Items!$E$2:$E$138,MATCH(B104,Items!$A$2:$A$138,0)),"")</f>
        <v/>
      </c>
      <c r="F104" s="2" t="s">
        <v>347</v>
      </c>
    </row>
    <row r="105" spans="1:6" x14ac:dyDescent="0.25">
      <c r="A105" s="2" t="s">
        <v>308</v>
      </c>
      <c r="B105" s="2" t="s">
        <v>331</v>
      </c>
      <c r="C105" s="13">
        <v>1</v>
      </c>
      <c r="D105" s="8">
        <f>IFERROR(INDEX(Items!$F$2:$F$138,MATCH(B105,Items!$A$2:$A$138,0)),"")</f>
        <v>30</v>
      </c>
      <c r="E105" s="8" t="str">
        <f>IFERROR(INDEX(Items!$E$2:$E$138,MATCH(B105,Items!$A$2:$A$138,0)),"")</f>
        <v/>
      </c>
      <c r="F105" s="2" t="s">
        <v>347</v>
      </c>
    </row>
    <row r="106" spans="1:6" x14ac:dyDescent="0.25">
      <c r="A106" s="2" t="s">
        <v>308</v>
      </c>
      <c r="B106" s="2" t="s">
        <v>306</v>
      </c>
      <c r="C106" s="13">
        <v>1</v>
      </c>
      <c r="D106" s="8">
        <f>IFERROR(INDEX(Items!$F$2:$F$138,MATCH(B106,Items!$A$2:$A$138,0)),"")</f>
        <v>5</v>
      </c>
      <c r="E106" s="8" t="str">
        <f>IFERROR(INDEX(Items!$E$2:$E$138,MATCH(B106,Items!$A$2:$A$138,0)),"")</f>
        <v/>
      </c>
      <c r="F106" s="2" t="s">
        <v>347</v>
      </c>
    </row>
    <row r="107" spans="1:6" x14ac:dyDescent="0.25">
      <c r="A107" s="2" t="s">
        <v>308</v>
      </c>
      <c r="B107" s="2" t="s">
        <v>168</v>
      </c>
      <c r="C107" s="13">
        <v>1</v>
      </c>
      <c r="D107" s="8">
        <f>IFERROR(INDEX(Items!$F$2:$F$138,MATCH(B107,Items!$A$2:$A$138,0)),"")</f>
        <v>12</v>
      </c>
      <c r="E107" s="8">
        <f>IFERROR(INDEX(Items!$E$2:$E$138,MATCH(B107,Items!$A$2:$A$138,0)),"")</f>
        <v>2</v>
      </c>
      <c r="F107" s="2" t="s">
        <v>347</v>
      </c>
    </row>
    <row r="108" spans="1:6" x14ac:dyDescent="0.25">
      <c r="A108" s="2" t="s">
        <v>308</v>
      </c>
      <c r="B108" s="2" t="s">
        <v>259</v>
      </c>
      <c r="C108" s="13">
        <v>1</v>
      </c>
      <c r="D108" s="8">
        <f>IFERROR(INDEX(Items!$F$2:$F$138,MATCH(B108,Items!$A$2:$A$138,0)),"")</f>
        <v>20</v>
      </c>
      <c r="E108" s="8">
        <f>IFERROR(INDEX(Items!$E$2:$E$138,MATCH(B108,Items!$A$2:$A$138,0)),"")</f>
        <v>5</v>
      </c>
      <c r="F108" s="2" t="s">
        <v>347</v>
      </c>
    </row>
    <row r="109" spans="1:6" x14ac:dyDescent="0.25">
      <c r="A109" s="2" t="s">
        <v>308</v>
      </c>
      <c r="B109" s="2" t="s">
        <v>257</v>
      </c>
      <c r="C109" s="13">
        <v>1</v>
      </c>
      <c r="D109" s="8">
        <f>IFERROR(INDEX(Items!$F$2:$F$138,MATCH(B109,Items!$A$2:$A$138,0)),"")</f>
        <v>16</v>
      </c>
      <c r="E109" s="8">
        <f>IFERROR(INDEX(Items!$E$2:$E$138,MATCH(B109,Items!$A$2:$A$138,0)),"")</f>
        <v>4</v>
      </c>
      <c r="F109" s="2" t="s">
        <v>347</v>
      </c>
    </row>
    <row r="110" spans="1:6" x14ac:dyDescent="0.25">
      <c r="A110" s="2" t="s">
        <v>308</v>
      </c>
      <c r="B110" s="2" t="s">
        <v>294</v>
      </c>
      <c r="C110" s="13">
        <v>1</v>
      </c>
      <c r="D110" s="8">
        <f>IFERROR(INDEX(Items!$F$2:$F$138,MATCH(B110,Items!$A$2:$A$138,0)),"")</f>
        <v>26</v>
      </c>
      <c r="E110" s="8">
        <f>IFERROR(INDEX(Items!$E$2:$E$138,MATCH(B110,Items!$A$2:$A$138,0)),"")</f>
        <v>8</v>
      </c>
      <c r="F110" s="2" t="s">
        <v>347</v>
      </c>
    </row>
    <row r="111" spans="1:6" x14ac:dyDescent="0.25">
      <c r="A111" s="2" t="s">
        <v>308</v>
      </c>
      <c r="B111" s="2" t="s">
        <v>286</v>
      </c>
      <c r="C111" s="13">
        <v>0.33</v>
      </c>
      <c r="D111" s="8">
        <f>IFERROR(INDEX(Items!$F$2:$F$138,MATCH(B111,Items!$A$2:$A$138,0)),"")</f>
        <v>3</v>
      </c>
      <c r="E111" s="8">
        <f>IFERROR(INDEX(Items!$E$2:$E$138,MATCH(B111,Items!$A$2:$A$138,0)),"")</f>
        <v>0.5</v>
      </c>
      <c r="F111" s="2" t="s">
        <v>347</v>
      </c>
    </row>
    <row r="112" spans="1:6" x14ac:dyDescent="0.25">
      <c r="A112" s="2" t="s">
        <v>308</v>
      </c>
      <c r="B112" s="2" t="s">
        <v>220</v>
      </c>
      <c r="C112" s="13">
        <v>0.6</v>
      </c>
      <c r="D112" s="8">
        <f>IFERROR(INDEX(Items!$F$2:$F$138,MATCH(B112,Items!$A$2:$A$138,0)),"")</f>
        <v>3.9</v>
      </c>
      <c r="E112" s="8">
        <f>IFERROR(INDEX(Items!$E$2:$E$138,MATCH(B112,Items!$A$2:$A$138,0)),"")</f>
        <v>0.9</v>
      </c>
      <c r="F112" s="2" t="s">
        <v>347</v>
      </c>
    </row>
    <row r="113" spans="1:6" x14ac:dyDescent="0.25">
      <c r="A113" s="2" t="s">
        <v>233</v>
      </c>
      <c r="B113" s="2" t="s">
        <v>231</v>
      </c>
      <c r="C113" s="13">
        <v>1</v>
      </c>
      <c r="D113" s="8">
        <f>IFERROR(INDEX(Items!$F$2:$F$138,MATCH(B113,Items!$A$2:$A$138,0)),"")</f>
        <v>8</v>
      </c>
      <c r="E113" s="8">
        <f>IFERROR(INDEX(Items!$E$2:$E$138,MATCH(B113,Items!$A$2:$A$138,0)),"")</f>
        <v>2.5</v>
      </c>
      <c r="F113" s="2" t="s">
        <v>435</v>
      </c>
    </row>
    <row r="114" spans="1:6" x14ac:dyDescent="0.25">
      <c r="A114" s="2" t="s">
        <v>233</v>
      </c>
      <c r="B114" s="2" t="s">
        <v>234</v>
      </c>
      <c r="C114" s="13">
        <v>1</v>
      </c>
      <c r="D114" s="8">
        <f>IFERROR(INDEX(Items!$F$2:$F$138,MATCH(B114,Items!$A$2:$A$138,0)),"")</f>
        <v>6</v>
      </c>
      <c r="E114" s="8">
        <f>IFERROR(INDEX(Items!$E$2:$E$138,MATCH(B114,Items!$A$2:$A$138,0)),"")</f>
        <v>1.1</v>
      </c>
      <c r="F114" s="2" t="s">
        <v>435</v>
      </c>
    </row>
    <row r="115" spans="1:6" x14ac:dyDescent="0.25">
      <c r="A115" s="2" t="s">
        <v>233</v>
      </c>
      <c r="B115" s="2" t="s">
        <v>286</v>
      </c>
      <c r="C115" s="13">
        <v>1</v>
      </c>
      <c r="D115" s="8">
        <f>IFERROR(INDEX(Items!$F$2:$F$138,MATCH(B115,Items!$A$2:$A$138,0)),"")</f>
        <v>3</v>
      </c>
      <c r="E115" s="8">
        <f>IFERROR(INDEX(Items!$E$2:$E$138,MATCH(B115,Items!$A$2:$A$138,0)),"")</f>
        <v>0.5</v>
      </c>
      <c r="F115" s="2" t="s">
        <v>435</v>
      </c>
    </row>
    <row r="116" spans="1:6" x14ac:dyDescent="0.25">
      <c r="A116" s="2" t="s">
        <v>233</v>
      </c>
      <c r="B116" s="2" t="s">
        <v>220</v>
      </c>
      <c r="C116" s="13">
        <v>1</v>
      </c>
      <c r="D116" s="8">
        <f>IFERROR(INDEX(Items!$F$2:$F$138,MATCH(B116,Items!$A$2:$A$138,0)),"")</f>
        <v>3.9</v>
      </c>
      <c r="E116" s="8">
        <f>IFERROR(INDEX(Items!$E$2:$E$138,MATCH(B116,Items!$A$2:$A$138,0)),"")</f>
        <v>0.9</v>
      </c>
      <c r="F116" s="2" t="s">
        <v>435</v>
      </c>
    </row>
    <row r="117" spans="1:6" x14ac:dyDescent="0.25">
      <c r="A117" s="2" t="s">
        <v>233</v>
      </c>
      <c r="B117" s="2" t="s">
        <v>246</v>
      </c>
      <c r="C117" s="13">
        <v>1</v>
      </c>
      <c r="D117" s="8">
        <f>IFERROR(INDEX(Items!$F$2:$F$138,MATCH(B117,Items!$A$2:$A$138,0)),"")</f>
        <v>11.5</v>
      </c>
      <c r="E117" s="8">
        <f>IFERROR(INDEX(Items!$E$2:$E$138,MATCH(B117,Items!$A$2:$A$138,0)),"")</f>
        <v>4.33</v>
      </c>
      <c r="F117" s="2" t="s">
        <v>435</v>
      </c>
    </row>
    <row r="118" spans="1:6" x14ac:dyDescent="0.25">
      <c r="A118" s="2" t="s">
        <v>233</v>
      </c>
      <c r="B118" s="2" t="s">
        <v>158</v>
      </c>
      <c r="C118" s="13">
        <v>0.7</v>
      </c>
      <c r="D118" s="8">
        <f>IFERROR(INDEX(Items!$F$2:$F$138,MATCH(B118,Items!$A$2:$A$138,0)),"")</f>
        <v>2.89</v>
      </c>
      <c r="E118" s="8">
        <f>IFERROR(INDEX(Items!$E$2:$E$138,MATCH(B118,Items!$A$2:$A$138,0)),"")</f>
        <v>0.32</v>
      </c>
      <c r="F118" s="2" t="s">
        <v>435</v>
      </c>
    </row>
    <row r="119" spans="1:6" x14ac:dyDescent="0.25">
      <c r="A119" s="2" t="s">
        <v>233</v>
      </c>
      <c r="B119" s="2" t="s">
        <v>162</v>
      </c>
      <c r="C119" s="13">
        <v>0.7</v>
      </c>
      <c r="D119" s="8">
        <f>IFERROR(INDEX(Items!$F$2:$F$138,MATCH(B119,Items!$A$2:$A$138,0)),"")</f>
        <v>2.35</v>
      </c>
      <c r="E119" s="8">
        <f>IFERROR(INDEX(Items!$E$2:$E$138,MATCH(B119,Items!$A$2:$A$138,0)),"")</f>
        <v>0.26</v>
      </c>
      <c r="F119" s="2" t="s">
        <v>435</v>
      </c>
    </row>
    <row r="120" spans="1:6" x14ac:dyDescent="0.25">
      <c r="A120" s="2" t="s">
        <v>233</v>
      </c>
      <c r="B120" s="2" t="s">
        <v>164</v>
      </c>
      <c r="C120" s="13">
        <v>0.7</v>
      </c>
      <c r="D120" s="8">
        <f>IFERROR(INDEX(Items!$F$2:$F$138,MATCH(B120,Items!$A$2:$A$138,0)),"")</f>
        <v>2.24</v>
      </c>
      <c r="E120" s="8">
        <f>IFERROR(INDEX(Items!$E$2:$E$138,MATCH(B120,Items!$A$2:$A$138,0)),"")</f>
        <v>0.28</v>
      </c>
      <c r="F120" s="2" t="s">
        <v>435</v>
      </c>
    </row>
    <row r="121" spans="1:6" x14ac:dyDescent="0.25">
      <c r="A121" s="2" t="s">
        <v>233</v>
      </c>
      <c r="B121" s="2" t="s">
        <v>143</v>
      </c>
      <c r="C121" s="13">
        <v>0.7</v>
      </c>
      <c r="D121" s="8">
        <f>IFERROR(INDEX(Items!$F$2:$F$138,MATCH(B121,Items!$A$2:$A$138,0)),"")</f>
        <v>2.12</v>
      </c>
      <c r="E121" s="8">
        <f>IFERROR(INDEX(Items!$E$2:$E$138,MATCH(B121,Items!$A$2:$A$138,0)),"")</f>
        <v>0.28</v>
      </c>
      <c r="F121" s="2" t="s">
        <v>435</v>
      </c>
    </row>
    <row r="122" spans="1:6" x14ac:dyDescent="0.25">
      <c r="A122" s="2" t="s">
        <v>233</v>
      </c>
      <c r="B122" s="2" t="s">
        <v>166</v>
      </c>
      <c r="C122" s="13">
        <v>0.7</v>
      </c>
      <c r="D122" s="8">
        <f>IFERROR(INDEX(Items!$F$2:$F$138,MATCH(B122,Items!$A$2:$A$138,0)),"")</f>
        <v>2.62</v>
      </c>
      <c r="E122" s="8">
        <f>IFERROR(INDEX(Items!$E$2:$E$138,MATCH(B122,Items!$A$2:$A$138,0)),"")</f>
        <v>0.29</v>
      </c>
      <c r="F122" s="2" t="s">
        <v>435</v>
      </c>
    </row>
    <row r="123" spans="1:6" x14ac:dyDescent="0.25">
      <c r="A123" s="2" t="s">
        <v>233</v>
      </c>
      <c r="B123" s="2" t="s">
        <v>148</v>
      </c>
      <c r="C123" s="13">
        <v>0.7</v>
      </c>
      <c r="D123" s="8">
        <f>IFERROR(INDEX(Items!$F$2:$F$138,MATCH(B123,Items!$A$2:$A$138,0)),"")</f>
        <v>2.56</v>
      </c>
      <c r="E123" s="8">
        <f>IFERROR(INDEX(Items!$E$2:$E$138,MATCH(B123,Items!$A$2:$A$138,0)),"")</f>
        <v>0.29</v>
      </c>
      <c r="F123" s="2" t="s">
        <v>435</v>
      </c>
    </row>
    <row r="124" spans="1:6" x14ac:dyDescent="0.25">
      <c r="A124" s="2" t="s">
        <v>233</v>
      </c>
      <c r="B124" s="2" t="s">
        <v>172</v>
      </c>
      <c r="C124" s="13">
        <v>0.2</v>
      </c>
      <c r="D124" s="8">
        <f>IFERROR(INDEX(Items!$F$2:$F$138,MATCH(B124,Items!$A$2:$A$138,0)),"")</f>
        <v>21</v>
      </c>
      <c r="E124" s="8">
        <f>IFERROR(INDEX(Items!$E$2:$E$138,MATCH(B124,Items!$A$2:$A$138,0)),"")</f>
        <v>5.8</v>
      </c>
      <c r="F124" s="2" t="s">
        <v>435</v>
      </c>
    </row>
    <row r="125" spans="1:6" x14ac:dyDescent="0.25">
      <c r="A125" s="2" t="s">
        <v>233</v>
      </c>
      <c r="B125" s="2" t="s">
        <v>208</v>
      </c>
      <c r="C125" s="13">
        <v>0.2</v>
      </c>
      <c r="D125" s="8">
        <f>IFERROR(INDEX(Items!$F$2:$F$138,MATCH(B125,Items!$A$2:$A$138,0)),"")</f>
        <v>7.2</v>
      </c>
      <c r="E125" s="8">
        <f>IFERROR(INDEX(Items!$E$2:$E$138,MATCH(B125,Items!$A$2:$A$138,0)),"")</f>
        <v>2.91</v>
      </c>
      <c r="F125" s="2" t="s">
        <v>435</v>
      </c>
    </row>
    <row r="126" spans="1:6" x14ac:dyDescent="0.25">
      <c r="A126" s="2" t="s">
        <v>233</v>
      </c>
      <c r="B126" s="2" t="s">
        <v>216</v>
      </c>
      <c r="C126" s="13">
        <v>0.2</v>
      </c>
      <c r="D126" s="8">
        <f>IFERROR(INDEX(Items!$F$2:$F$138,MATCH(B126,Items!$A$2:$A$138,0)),"")</f>
        <v>5.2</v>
      </c>
      <c r="E126" s="8">
        <f>IFERROR(INDEX(Items!$E$2:$E$138,MATCH(B126,Items!$A$2:$A$138,0)),"")</f>
        <v>2.1</v>
      </c>
      <c r="F126" s="2" t="s">
        <v>435</v>
      </c>
    </row>
    <row r="127" spans="1:6" x14ac:dyDescent="0.25">
      <c r="A127" s="2" t="s">
        <v>233</v>
      </c>
      <c r="B127" s="2" t="s">
        <v>218</v>
      </c>
      <c r="C127" s="13">
        <v>0.2</v>
      </c>
      <c r="D127" s="8">
        <f>IFERROR(INDEX(Items!$F$2:$F$138,MATCH(B127,Items!$A$2:$A$138,0)),"")</f>
        <v>3.8</v>
      </c>
      <c r="E127" s="8">
        <f>IFERROR(INDEX(Items!$E$2:$E$138,MATCH(B127,Items!$A$2:$A$138,0)),"")</f>
        <v>1.52</v>
      </c>
      <c r="F127" s="2" t="s">
        <v>435</v>
      </c>
    </row>
    <row r="128" spans="1:6" x14ac:dyDescent="0.25">
      <c r="A128" s="2" t="s">
        <v>181</v>
      </c>
      <c r="B128" s="2" t="s">
        <v>336</v>
      </c>
      <c r="C128" s="13">
        <v>1</v>
      </c>
      <c r="D128" s="8">
        <f>IFERROR(INDEX(Items!$F$2:$F$138,MATCH(B128,Items!$A$2:$A$138,0)),"")</f>
        <v>85</v>
      </c>
      <c r="E128" s="8" t="str">
        <f>IFERROR(INDEX(Items!$E$2:$E$138,MATCH(B128,Items!$A$2:$A$138,0)),"")</f>
        <v/>
      </c>
      <c r="F128" s="2" t="s">
        <v>440</v>
      </c>
    </row>
    <row r="129" spans="1:6" x14ac:dyDescent="0.25">
      <c r="A129" s="2" t="s">
        <v>181</v>
      </c>
      <c r="B129" s="2" t="s">
        <v>259</v>
      </c>
      <c r="C129" s="13">
        <v>0.9</v>
      </c>
      <c r="D129" s="8">
        <f>IFERROR(INDEX(Items!$F$2:$F$138,MATCH(B129,Items!$A$2:$A$138,0)),"")</f>
        <v>20</v>
      </c>
      <c r="E129" s="8">
        <f>IFERROR(INDEX(Items!$E$2:$E$138,MATCH(B129,Items!$A$2:$A$138,0)),"")</f>
        <v>5</v>
      </c>
      <c r="F129" s="2" t="s">
        <v>440</v>
      </c>
    </row>
    <row r="130" spans="1:6" x14ac:dyDescent="0.25">
      <c r="A130" s="2" t="s">
        <v>181</v>
      </c>
      <c r="B130" s="2" t="s">
        <v>294</v>
      </c>
      <c r="C130" s="13">
        <v>0.9</v>
      </c>
      <c r="D130" s="8">
        <f>IFERROR(INDEX(Items!$F$2:$F$138,MATCH(B130,Items!$A$2:$A$138,0)),"")</f>
        <v>26</v>
      </c>
      <c r="E130" s="8">
        <f>IFERROR(INDEX(Items!$E$2:$E$138,MATCH(B130,Items!$A$2:$A$138,0)),"")</f>
        <v>8</v>
      </c>
      <c r="F130" s="2" t="s">
        <v>440</v>
      </c>
    </row>
    <row r="131" spans="1:6" x14ac:dyDescent="0.25">
      <c r="A131" s="2" t="s">
        <v>181</v>
      </c>
      <c r="B131" s="2" t="s">
        <v>179</v>
      </c>
      <c r="C131" s="13">
        <v>0.95</v>
      </c>
      <c r="D131" s="8">
        <f>IFERROR(INDEX(Items!$F$2:$F$138,MATCH(B131,Items!$A$2:$A$138,0)),"")</f>
        <v>15</v>
      </c>
      <c r="E131" s="8">
        <f>IFERROR(INDEX(Items!$E$2:$E$138,MATCH(B131,Items!$A$2:$A$138,0)),"")</f>
        <v>1</v>
      </c>
      <c r="F131" s="2" t="s">
        <v>440</v>
      </c>
    </row>
    <row r="132" spans="1:6" x14ac:dyDescent="0.25">
      <c r="A132" s="2" t="s">
        <v>181</v>
      </c>
      <c r="B132" s="2" t="s">
        <v>275</v>
      </c>
      <c r="C132" s="13">
        <v>0.85</v>
      </c>
      <c r="D132" s="8">
        <f>IFERROR(INDEX(Items!$F$2:$F$138,MATCH(B132,Items!$A$2:$A$138,0)),"")</f>
        <v>8.5</v>
      </c>
      <c r="E132" s="8">
        <f>IFERROR(INDEX(Items!$E$2:$E$138,MATCH(B132,Items!$A$2:$A$138,0)),"")</f>
        <v>0.2</v>
      </c>
      <c r="F132" s="2" t="s">
        <v>440</v>
      </c>
    </row>
    <row r="133" spans="1:6" x14ac:dyDescent="0.25">
      <c r="A133" s="2" t="s">
        <v>340</v>
      </c>
      <c r="B133" s="2" t="s">
        <v>338</v>
      </c>
      <c r="C133" s="13">
        <v>1</v>
      </c>
      <c r="D133" s="8">
        <f>IFERROR(INDEX(Items!$F$2:$F$138,MATCH(B133,Items!$A$2:$A$138,0)),"")</f>
        <v>145</v>
      </c>
      <c r="E133" s="8" t="str">
        <f>IFERROR(INDEX(Items!$E$2:$E$138,MATCH(B133,Items!$A$2:$A$138,0)),"")</f>
        <v/>
      </c>
      <c r="F133" s="2" t="s">
        <v>20</v>
      </c>
    </row>
    <row r="134" spans="1:6" x14ac:dyDescent="0.25">
      <c r="A134" s="2" t="s">
        <v>335</v>
      </c>
      <c r="B134" s="2" t="s">
        <v>333</v>
      </c>
      <c r="C134" s="13">
        <v>1</v>
      </c>
      <c r="D134" s="8">
        <f>IFERROR(INDEX(Items!$F$2:$F$138,MATCH(B134,Items!$A$2:$A$138,0)),"")</f>
        <v>165</v>
      </c>
      <c r="E134" s="8" t="str">
        <f>IFERROR(INDEX(Items!$E$2:$E$138,MATCH(B134,Items!$A$2:$A$138,0)),"")</f>
        <v/>
      </c>
      <c r="F134" s="2" t="s">
        <v>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F5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  <col min="3" max="3" width="34" customWidth="1"/>
    <col min="4" max="4" width="14" customWidth="1"/>
    <col min="5" max="6" width="12" customWidth="1"/>
  </cols>
  <sheetData>
    <row r="1" ht="30" customHeight="1" spans="1:6" x14ac:dyDescent="0.25">
      <c r="A1" s="1" t="s">
        <v>0</v>
      </c>
      <c r="B1" s="1" t="s">
        <v>1</v>
      </c>
      <c r="C1" s="1" t="s">
        <v>442</v>
      </c>
      <c r="D1" s="1" t="s">
        <v>443</v>
      </c>
      <c r="E1" s="1" t="s">
        <v>444</v>
      </c>
      <c r="F1" s="1" t="s">
        <v>445</v>
      </c>
    </row>
    <row r="2" spans="1:6" x14ac:dyDescent="0.25">
      <c r="A2" s="2" t="s">
        <v>446</v>
      </c>
      <c r="B2" s="2" t="s">
        <v>447</v>
      </c>
      <c r="C2" s="2" t="s">
        <v>448</v>
      </c>
      <c r="D2" s="14">
        <v>120</v>
      </c>
      <c r="E2" s="6"/>
      <c r="F2" s="6"/>
    </row>
    <row r="3" spans="1:6" x14ac:dyDescent="0.25">
      <c r="A3" s="2" t="s">
        <v>449</v>
      </c>
      <c r="B3" s="2" t="s">
        <v>450</v>
      </c>
      <c r="C3" s="2" t="s">
        <v>448</v>
      </c>
      <c r="D3" s="14">
        <v>20</v>
      </c>
      <c r="E3" s="6"/>
      <c r="F3" s="6"/>
    </row>
    <row r="4" spans="1:6" x14ac:dyDescent="0.25">
      <c r="A4" s="2" t="s">
        <v>451</v>
      </c>
      <c r="B4" s="2" t="s">
        <v>452</v>
      </c>
      <c r="C4" s="2" t="s">
        <v>448</v>
      </c>
      <c r="D4" s="14">
        <v>20</v>
      </c>
      <c r="E4" s="6"/>
      <c r="F4" s="6"/>
    </row>
    <row r="5" spans="1:6" x14ac:dyDescent="0.25">
      <c r="A5" s="2" t="s">
        <v>453</v>
      </c>
      <c r="B5" s="2" t="s">
        <v>454</v>
      </c>
      <c r="C5" s="2" t="s">
        <v>448</v>
      </c>
      <c r="D5" s="14">
        <v>140</v>
      </c>
      <c r="E5" s="6"/>
      <c r="F5" s="6"/>
    </row>
    <row r="6" spans="1:6" x14ac:dyDescent="0.25">
      <c r="A6" s="2" t="s">
        <v>455</v>
      </c>
      <c r="B6" s="2" t="s">
        <v>456</v>
      </c>
      <c r="C6" s="2" t="s">
        <v>448</v>
      </c>
      <c r="D6" s="14">
        <v>90</v>
      </c>
      <c r="E6" s="6"/>
      <c r="F6" s="6"/>
    </row>
    <row r="7" spans="1:6" x14ac:dyDescent="0.25">
      <c r="A7" s="2" t="s">
        <v>457</v>
      </c>
      <c r="B7" s="2" t="s">
        <v>458</v>
      </c>
      <c r="C7" s="2" t="s">
        <v>448</v>
      </c>
      <c r="D7" s="14">
        <v>575</v>
      </c>
      <c r="E7" s="6"/>
      <c r="F7" s="6"/>
    </row>
    <row r="8" spans="1:6" x14ac:dyDescent="0.25">
      <c r="A8" s="2" t="s">
        <v>459</v>
      </c>
      <c r="B8" s="2" t="s">
        <v>460</v>
      </c>
      <c r="C8" s="2" t="s">
        <v>461</v>
      </c>
      <c r="D8" s="14">
        <v>310</v>
      </c>
      <c r="E8" s="6"/>
      <c r="F8" s="6"/>
    </row>
    <row r="9" spans="1:6" x14ac:dyDescent="0.25">
      <c r="A9" s="2" t="s">
        <v>462</v>
      </c>
      <c r="B9" s="2" t="s">
        <v>463</v>
      </c>
      <c r="C9" s="2" t="s">
        <v>464</v>
      </c>
      <c r="D9" s="14">
        <v>75000</v>
      </c>
      <c r="E9" s="6"/>
      <c r="F9" s="6"/>
    </row>
    <row r="10" spans="1:6" x14ac:dyDescent="0.25">
      <c r="A10" s="2" t="s">
        <v>465</v>
      </c>
      <c r="B10" s="2" t="s">
        <v>466</v>
      </c>
      <c r="C10" s="2" t="s">
        <v>448</v>
      </c>
      <c r="D10" s="14">
        <v>250</v>
      </c>
      <c r="E10" s="6"/>
      <c r="F10" s="6"/>
    </row>
    <row r="11" spans="1:6" x14ac:dyDescent="0.25">
      <c r="A11" s="2" t="s">
        <v>467</v>
      </c>
      <c r="B11" s="2" t="s">
        <v>468</v>
      </c>
      <c r="C11" s="2" t="s">
        <v>469</v>
      </c>
      <c r="D11" s="14">
        <v>895</v>
      </c>
      <c r="E11" s="6">
        <v>20</v>
      </c>
      <c r="F11" s="6"/>
    </row>
    <row r="12" spans="1:6" x14ac:dyDescent="0.25">
      <c r="A12" s="2" t="s">
        <v>470</v>
      </c>
      <c r="B12" s="2" t="s">
        <v>471</v>
      </c>
      <c r="C12" s="2" t="s">
        <v>448</v>
      </c>
      <c r="D12" s="14">
        <v>420</v>
      </c>
      <c r="E12" s="6"/>
      <c r="F12" s="6"/>
    </row>
    <row r="13" spans="1:6" x14ac:dyDescent="0.25">
      <c r="A13" s="2" t="s">
        <v>472</v>
      </c>
      <c r="B13" s="2" t="s">
        <v>473</v>
      </c>
      <c r="C13" s="2" t="s">
        <v>461</v>
      </c>
      <c r="D13" s="14">
        <v>120</v>
      </c>
      <c r="E13" s="6"/>
      <c r="F13" s="6"/>
    </row>
    <row r="14" spans="1:6" x14ac:dyDescent="0.25">
      <c r="A14" s="2" t="s">
        <v>474</v>
      </c>
      <c r="B14" s="2" t="s">
        <v>475</v>
      </c>
      <c r="C14" s="2" t="s">
        <v>476</v>
      </c>
      <c r="D14" s="14">
        <v>1500</v>
      </c>
      <c r="E14" s="6">
        <v>1</v>
      </c>
      <c r="F14" s="6"/>
    </row>
    <row r="15" spans="1:6" x14ac:dyDescent="0.25">
      <c r="A15" s="2" t="s">
        <v>477</v>
      </c>
      <c r="B15" s="2" t="s">
        <v>478</v>
      </c>
      <c r="C15" s="2" t="s">
        <v>448</v>
      </c>
      <c r="D15" s="14">
        <v>25</v>
      </c>
      <c r="E15" s="6"/>
      <c r="F15" s="6"/>
    </row>
    <row r="16" spans="1:6" x14ac:dyDescent="0.25">
      <c r="A16" s="2" t="s">
        <v>479</v>
      </c>
      <c r="B16" s="2" t="s">
        <v>480</v>
      </c>
      <c r="C16" s="2" t="s">
        <v>448</v>
      </c>
      <c r="D16" s="14">
        <v>180</v>
      </c>
      <c r="E16" s="6"/>
      <c r="F16" s="6"/>
    </row>
    <row r="17" spans="1:6" x14ac:dyDescent="0.25">
      <c r="A17" s="2" t="s">
        <v>481</v>
      </c>
      <c r="B17" s="2" t="s">
        <v>482</v>
      </c>
      <c r="C17" s="2" t="s">
        <v>448</v>
      </c>
      <c r="D17" s="14">
        <v>70</v>
      </c>
      <c r="E17" s="6"/>
      <c r="F17" s="6"/>
    </row>
    <row r="18" spans="1:6" x14ac:dyDescent="0.25">
      <c r="A18" s="2" t="s">
        <v>483</v>
      </c>
      <c r="B18" s="2" t="s">
        <v>484</v>
      </c>
      <c r="C18" s="2" t="s">
        <v>448</v>
      </c>
      <c r="D18" s="14">
        <v>45</v>
      </c>
      <c r="E18" s="6"/>
      <c r="F18" s="6"/>
    </row>
    <row r="19" spans="1:6" x14ac:dyDescent="0.25">
      <c r="A19" s="2" t="s">
        <v>485</v>
      </c>
      <c r="B19" s="2" t="s">
        <v>486</v>
      </c>
      <c r="C19" s="2" t="s">
        <v>487</v>
      </c>
      <c r="D19" s="14">
        <v>2100</v>
      </c>
      <c r="E19" s="6"/>
      <c r="F19" s="6"/>
    </row>
    <row r="20" spans="1:6" x14ac:dyDescent="0.25">
      <c r="A20" s="2" t="s">
        <v>488</v>
      </c>
      <c r="B20" s="2" t="s">
        <v>489</v>
      </c>
      <c r="C20" s="2" t="s">
        <v>490</v>
      </c>
      <c r="D20" s="14">
        <v>650</v>
      </c>
      <c r="E20" s="6"/>
      <c r="F20" s="6"/>
    </row>
    <row r="21" spans="1:6" x14ac:dyDescent="0.25">
      <c r="A21" s="2" t="s">
        <v>491</v>
      </c>
      <c r="B21" s="2" t="s">
        <v>492</v>
      </c>
      <c r="C21" s="2" t="s">
        <v>461</v>
      </c>
      <c r="D21" s="14">
        <v>20</v>
      </c>
      <c r="E21" s="6"/>
      <c r="F21" s="6"/>
    </row>
    <row r="22" spans="1:6" x14ac:dyDescent="0.25">
      <c r="A22" s="2" t="s">
        <v>493</v>
      </c>
      <c r="B22" s="2" t="s">
        <v>494</v>
      </c>
      <c r="C22" s="2" t="s">
        <v>448</v>
      </c>
      <c r="D22" s="14">
        <v>20</v>
      </c>
      <c r="E22" s="6"/>
      <c r="F22" s="6"/>
    </row>
    <row r="23" spans="1:6" x14ac:dyDescent="0.25">
      <c r="A23" s="2" t="s">
        <v>495</v>
      </c>
      <c r="B23" s="2" t="s">
        <v>496</v>
      </c>
      <c r="C23" s="2" t="s">
        <v>490</v>
      </c>
      <c r="D23" s="14">
        <v>2450</v>
      </c>
      <c r="E23" s="6"/>
      <c r="F23" s="6"/>
    </row>
    <row r="24" spans="1:6" x14ac:dyDescent="0.25">
      <c r="A24" s="2" t="s">
        <v>497</v>
      </c>
      <c r="B24" s="2" t="s">
        <v>498</v>
      </c>
      <c r="C24" s="2" t="s">
        <v>490</v>
      </c>
      <c r="D24" s="14">
        <v>1850</v>
      </c>
      <c r="E24" s="6"/>
      <c r="F24" s="6"/>
    </row>
    <row r="25" spans="1:6" x14ac:dyDescent="0.25">
      <c r="A25" s="2" t="s">
        <v>499</v>
      </c>
      <c r="B25" s="2" t="s">
        <v>500</v>
      </c>
      <c r="C25" s="2" t="s">
        <v>490</v>
      </c>
      <c r="D25" s="14">
        <v>1725</v>
      </c>
      <c r="E25" s="6"/>
      <c r="F25" s="6"/>
    </row>
    <row r="26" spans="1:6" x14ac:dyDescent="0.25">
      <c r="A26" s="2" t="s">
        <v>501</v>
      </c>
      <c r="B26" s="2" t="s">
        <v>502</v>
      </c>
      <c r="C26" s="2" t="s">
        <v>490</v>
      </c>
      <c r="D26" s="14">
        <v>1500</v>
      </c>
      <c r="E26" s="6"/>
      <c r="F26" s="6"/>
    </row>
    <row r="27" spans="1:6" x14ac:dyDescent="0.25">
      <c r="A27" s="2" t="s">
        <v>503</v>
      </c>
      <c r="B27" s="2" t="s">
        <v>504</v>
      </c>
      <c r="C27" s="2" t="s">
        <v>490</v>
      </c>
      <c r="D27" s="14">
        <v>1200</v>
      </c>
      <c r="E27" s="6"/>
      <c r="F27" s="6"/>
    </row>
    <row r="28" spans="1:6" x14ac:dyDescent="0.25">
      <c r="A28" s="2" t="s">
        <v>505</v>
      </c>
      <c r="B28" s="2" t="s">
        <v>506</v>
      </c>
      <c r="C28" s="2" t="s">
        <v>490</v>
      </c>
      <c r="D28" s="14">
        <v>850</v>
      </c>
      <c r="E28" s="6"/>
      <c r="F28" s="6"/>
    </row>
    <row r="29" spans="1:6" x14ac:dyDescent="0.25">
      <c r="A29" s="2" t="s">
        <v>507</v>
      </c>
      <c r="B29" s="2" t="s">
        <v>508</v>
      </c>
      <c r="C29" s="2" t="s">
        <v>490</v>
      </c>
      <c r="D29" s="14">
        <v>475</v>
      </c>
      <c r="E29" s="6"/>
      <c r="F29" s="6"/>
    </row>
    <row r="30" spans="1:6" x14ac:dyDescent="0.25">
      <c r="A30" s="2" t="s">
        <v>509</v>
      </c>
      <c r="B30" s="2" t="s">
        <v>510</v>
      </c>
      <c r="C30" s="2" t="s">
        <v>490</v>
      </c>
      <c r="D30" s="14">
        <v>650</v>
      </c>
      <c r="E30" s="6"/>
      <c r="F30" s="6"/>
    </row>
    <row r="31" spans="1:6" x14ac:dyDescent="0.25">
      <c r="A31" s="2" t="s">
        <v>511</v>
      </c>
      <c r="B31" s="2" t="s">
        <v>512</v>
      </c>
      <c r="C31" s="2" t="s">
        <v>490</v>
      </c>
      <c r="D31" s="14">
        <v>4110</v>
      </c>
      <c r="E31" s="6"/>
      <c r="F31" s="6"/>
    </row>
    <row r="32" spans="1:6" x14ac:dyDescent="0.25">
      <c r="A32" s="2" t="s">
        <v>513</v>
      </c>
      <c r="B32" s="2" t="s">
        <v>514</v>
      </c>
      <c r="C32" s="2" t="s">
        <v>490</v>
      </c>
      <c r="D32" s="14">
        <v>400</v>
      </c>
      <c r="E32" s="6"/>
      <c r="F32" s="6"/>
    </row>
    <row r="33" spans="1:6" x14ac:dyDescent="0.25">
      <c r="A33" s="2" t="s">
        <v>515</v>
      </c>
      <c r="B33" s="2" t="s">
        <v>516</v>
      </c>
      <c r="C33" s="2" t="s">
        <v>448</v>
      </c>
      <c r="D33" s="14">
        <v>225</v>
      </c>
      <c r="E33" s="6"/>
      <c r="F33" s="6"/>
    </row>
    <row r="34" spans="1:6" x14ac:dyDescent="0.25">
      <c r="A34" s="2" t="s">
        <v>517</v>
      </c>
      <c r="B34" s="2" t="s">
        <v>518</v>
      </c>
      <c r="C34" s="2" t="s">
        <v>519</v>
      </c>
      <c r="D34" s="14">
        <v>45</v>
      </c>
      <c r="E34" s="6"/>
      <c r="F34" s="6"/>
    </row>
    <row r="35" spans="1:6" x14ac:dyDescent="0.25">
      <c r="A35" s="2" t="s">
        <v>520</v>
      </c>
      <c r="B35" s="2" t="s">
        <v>521</v>
      </c>
      <c r="C35" s="2" t="s">
        <v>519</v>
      </c>
      <c r="D35" s="14">
        <v>40</v>
      </c>
      <c r="E35" s="6"/>
      <c r="F35" s="6"/>
    </row>
    <row r="36" spans="1:6" x14ac:dyDescent="0.25">
      <c r="A36" s="2" t="s">
        <v>522</v>
      </c>
      <c r="B36" s="2" t="s">
        <v>523</v>
      </c>
      <c r="C36" s="2" t="s">
        <v>448</v>
      </c>
      <c r="D36" s="14">
        <v>275</v>
      </c>
      <c r="E36" s="6"/>
      <c r="F36" s="6"/>
    </row>
    <row r="37" spans="1:6" x14ac:dyDescent="0.25">
      <c r="A37" s="2" t="s">
        <v>524</v>
      </c>
      <c r="B37" s="2" t="s">
        <v>525</v>
      </c>
      <c r="C37" s="2" t="s">
        <v>448</v>
      </c>
      <c r="D37" s="14">
        <v>285</v>
      </c>
      <c r="E37" s="6"/>
      <c r="F37" s="6"/>
    </row>
    <row r="38" spans="1:6" x14ac:dyDescent="0.25">
      <c r="A38" s="2" t="s">
        <v>526</v>
      </c>
      <c r="B38" s="2" t="s">
        <v>527</v>
      </c>
      <c r="C38" s="2" t="s">
        <v>448</v>
      </c>
      <c r="D38" s="14">
        <v>175</v>
      </c>
      <c r="E38" s="6"/>
      <c r="F38" s="6"/>
    </row>
    <row r="39" spans="1:6" x14ac:dyDescent="0.25">
      <c r="A39" s="2" t="s">
        <v>528</v>
      </c>
      <c r="B39" s="2" t="s">
        <v>529</v>
      </c>
      <c r="C39" s="2" t="s">
        <v>461</v>
      </c>
      <c r="D39" s="14">
        <v>180</v>
      </c>
      <c r="E39" s="6"/>
      <c r="F39" s="6"/>
    </row>
    <row r="40" spans="1:6" x14ac:dyDescent="0.25">
      <c r="A40" s="2" t="s">
        <v>530</v>
      </c>
      <c r="B40" s="2" t="s">
        <v>531</v>
      </c>
      <c r="C40" s="2" t="s">
        <v>532</v>
      </c>
      <c r="D40" s="14">
        <v>520</v>
      </c>
      <c r="E40" s="6"/>
      <c r="F40" s="6"/>
    </row>
    <row r="41" spans="1:6" x14ac:dyDescent="0.25">
      <c r="A41" s="2" t="s">
        <v>533</v>
      </c>
      <c r="B41" s="2" t="s">
        <v>534</v>
      </c>
      <c r="C41" s="2" t="s">
        <v>448</v>
      </c>
      <c r="D41" s="14">
        <v>97</v>
      </c>
      <c r="E41" s="6"/>
      <c r="F41" s="6"/>
    </row>
    <row r="42" spans="1:6" x14ac:dyDescent="0.25">
      <c r="A42" s="2" t="s">
        <v>535</v>
      </c>
      <c r="B42" s="2" t="s">
        <v>536</v>
      </c>
      <c r="C42" s="2" t="s">
        <v>490</v>
      </c>
      <c r="D42" s="14">
        <v>780</v>
      </c>
      <c r="E42" s="6"/>
      <c r="F42" s="6">
        <v>21</v>
      </c>
    </row>
    <row r="43" spans="1:6" x14ac:dyDescent="0.25">
      <c r="A43" s="2" t="s">
        <v>537</v>
      </c>
      <c r="B43" s="2" t="s">
        <v>538</v>
      </c>
      <c r="C43" s="2" t="s">
        <v>469</v>
      </c>
      <c r="D43" s="14">
        <v>780</v>
      </c>
      <c r="E43" s="6">
        <v>50</v>
      </c>
      <c r="F43" s="6"/>
    </row>
    <row r="44" spans="1:6" x14ac:dyDescent="0.25">
      <c r="A44" s="2" t="s">
        <v>539</v>
      </c>
      <c r="B44" s="2" t="s">
        <v>540</v>
      </c>
      <c r="C44" s="2" t="s">
        <v>490</v>
      </c>
      <c r="D44" s="14">
        <v>350</v>
      </c>
      <c r="E44" s="6"/>
      <c r="F44" s="6">
        <v>7</v>
      </c>
    </row>
    <row r="45" spans="1:6" x14ac:dyDescent="0.25">
      <c r="A45" s="2" t="s">
        <v>541</v>
      </c>
      <c r="B45" s="2" t="s">
        <v>542</v>
      </c>
      <c r="C45" s="2" t="s">
        <v>469</v>
      </c>
      <c r="D45" s="14">
        <v>350</v>
      </c>
      <c r="E45" s="6">
        <v>20</v>
      </c>
      <c r="F45" s="6"/>
    </row>
    <row r="46" spans="1:6" x14ac:dyDescent="0.25">
      <c r="A46" s="2" t="s">
        <v>543</v>
      </c>
      <c r="B46" s="2" t="s">
        <v>544</v>
      </c>
      <c r="C46" s="2" t="s">
        <v>464</v>
      </c>
      <c r="D46" s="14">
        <v>27500</v>
      </c>
      <c r="E46" s="6"/>
      <c r="F46" s="6"/>
    </row>
    <row r="47" spans="1:6" x14ac:dyDescent="0.25">
      <c r="A47" s="2" t="s">
        <v>545</v>
      </c>
      <c r="B47" s="2" t="s">
        <v>546</v>
      </c>
      <c r="C47" s="2" t="s">
        <v>547</v>
      </c>
      <c r="D47" s="14">
        <v>450</v>
      </c>
      <c r="E47" s="6">
        <v>2</v>
      </c>
      <c r="F47" s="6"/>
    </row>
    <row r="48" spans="1:6" x14ac:dyDescent="0.25">
      <c r="A48" s="2" t="s">
        <v>548</v>
      </c>
      <c r="B48" s="2" t="s">
        <v>549</v>
      </c>
      <c r="C48" s="2" t="s">
        <v>448</v>
      </c>
      <c r="D48" s="14">
        <v>140</v>
      </c>
      <c r="E48" s="6"/>
      <c r="F48" s="6"/>
    </row>
    <row r="49" spans="1:6" x14ac:dyDescent="0.25">
      <c r="A49" s="2" t="s">
        <v>550</v>
      </c>
      <c r="B49" s="2" t="s">
        <v>551</v>
      </c>
      <c r="C49" s="2" t="s">
        <v>448</v>
      </c>
      <c r="D49" s="14">
        <v>140</v>
      </c>
      <c r="E49" s="6"/>
      <c r="F49" s="6"/>
    </row>
    <row r="50" spans="1:6" x14ac:dyDescent="0.25">
      <c r="A50" s="2" t="s">
        <v>552</v>
      </c>
      <c r="B50" s="2" t="s">
        <v>553</v>
      </c>
      <c r="C50" s="2" t="s">
        <v>448</v>
      </c>
      <c r="D50" s="14">
        <v>160</v>
      </c>
      <c r="E50" s="6"/>
      <c r="F50" s="6"/>
    </row>
    <row r="51" spans="1:6" x14ac:dyDescent="0.25">
      <c r="A51" s="2" t="s">
        <v>554</v>
      </c>
      <c r="B51" s="2" t="s">
        <v>555</v>
      </c>
      <c r="C51" s="2" t="s">
        <v>556</v>
      </c>
      <c r="D51" s="14">
        <v>470</v>
      </c>
      <c r="E51" s="6"/>
      <c r="F51" s="6"/>
    </row>
    <row r="52" spans="1:6" x14ac:dyDescent="0.25">
      <c r="A52" s="2" t="s">
        <v>557</v>
      </c>
      <c r="B52" s="2" t="s">
        <v>558</v>
      </c>
      <c r="C52" s="2" t="s">
        <v>556</v>
      </c>
      <c r="D52" s="14">
        <v>470</v>
      </c>
      <c r="E52" s="6"/>
      <c r="F52" s="6"/>
    </row>
    <row r="53" spans="1:6" x14ac:dyDescent="0.25">
      <c r="A53" s="2" t="s">
        <v>559</v>
      </c>
      <c r="B53" s="2" t="s">
        <v>560</v>
      </c>
      <c r="C53" s="2" t="s">
        <v>556</v>
      </c>
      <c r="D53" s="14">
        <v>470</v>
      </c>
      <c r="E53" s="6"/>
      <c r="F53" s="6"/>
    </row>
    <row r="54" spans="1:6" x14ac:dyDescent="0.25">
      <c r="A54" s="2" t="s">
        <v>561</v>
      </c>
      <c r="B54" s="2" t="s">
        <v>562</v>
      </c>
      <c r="C54" s="2" t="s">
        <v>556</v>
      </c>
      <c r="D54" s="14">
        <v>470</v>
      </c>
      <c r="E54" s="6"/>
      <c r="F54" s="6"/>
    </row>
    <row r="55" spans="1:6" x14ac:dyDescent="0.25">
      <c r="A55" s="2" t="s">
        <v>563</v>
      </c>
      <c r="B55" s="2" t="s">
        <v>564</v>
      </c>
      <c r="C55" s="2" t="s">
        <v>556</v>
      </c>
      <c r="D55" s="14">
        <v>470</v>
      </c>
      <c r="E55" s="6"/>
      <c r="F55" s="6"/>
    </row>
    <row r="56" spans="1:6" x14ac:dyDescent="0.25">
      <c r="A56" s="2" t="s">
        <v>565</v>
      </c>
      <c r="B56" s="2" t="s">
        <v>566</v>
      </c>
      <c r="C56" s="2" t="s">
        <v>448</v>
      </c>
      <c r="D56" s="14">
        <v>100</v>
      </c>
      <c r="E56" s="6"/>
      <c r="F56" s="6"/>
    </row>
    <row r="57" spans="1:6" x14ac:dyDescent="0.25">
      <c r="A57" s="2" t="s">
        <v>567</v>
      </c>
      <c r="B57" s="2" t="s">
        <v>568</v>
      </c>
      <c r="C57" s="2" t="s">
        <v>569</v>
      </c>
      <c r="D57" s="14">
        <v>10</v>
      </c>
      <c r="E57" s="6"/>
      <c r="F57" s="6"/>
    </row>
    <row r="58" spans="1:6" x14ac:dyDescent="0.25">
      <c r="A58" s="2" t="s">
        <v>570</v>
      </c>
      <c r="B58" s="2" t="s">
        <v>571</v>
      </c>
      <c r="C58" s="2" t="s">
        <v>448</v>
      </c>
      <c r="D58" s="14">
        <v>275</v>
      </c>
      <c r="E58" s="6"/>
      <c r="F58" s="6"/>
    </row>
    <row r="59" spans="1:6" x14ac:dyDescent="0.25">
      <c r="A59" s="2" t="s">
        <v>572</v>
      </c>
      <c r="B59" s="2" t="s">
        <v>573</v>
      </c>
      <c r="C59" s="2" t="s">
        <v>448</v>
      </c>
      <c r="D59" s="14">
        <v>275</v>
      </c>
      <c r="E59" s="6"/>
      <c r="F59" s="6"/>
    </row>
    <row r="60" spans="1:6" x14ac:dyDescent="0.25">
      <c r="A60" s="2" t="s">
        <v>574</v>
      </c>
      <c r="B60" s="2" t="s">
        <v>575</v>
      </c>
      <c r="C60" s="2" t="s">
        <v>448</v>
      </c>
      <c r="D60" s="14">
        <v>275</v>
      </c>
      <c r="E60" s="6"/>
      <c r="F60" s="6"/>
    </row>
    <row r="61" spans="1:6" x14ac:dyDescent="0.25">
      <c r="A61" s="2" t="s">
        <v>576</v>
      </c>
      <c r="B61" s="2" t="s">
        <v>577</v>
      </c>
      <c r="C61" s="2" t="s">
        <v>448</v>
      </c>
      <c r="D61" s="14">
        <v>275</v>
      </c>
      <c r="E61" s="6"/>
      <c r="F61" s="6"/>
    </row>
    <row r="62" spans="1:6" x14ac:dyDescent="0.25">
      <c r="A62" s="2" t="s">
        <v>578</v>
      </c>
      <c r="B62" s="2" t="s">
        <v>579</v>
      </c>
      <c r="C62" s="2" t="s">
        <v>448</v>
      </c>
      <c r="D62" s="14">
        <v>275</v>
      </c>
      <c r="E62" s="6"/>
      <c r="F62" s="6"/>
    </row>
    <row r="63" spans="1:6" x14ac:dyDescent="0.25">
      <c r="A63" s="2" t="s">
        <v>580</v>
      </c>
      <c r="B63" s="2" t="s">
        <v>581</v>
      </c>
      <c r="C63" s="2" t="s">
        <v>448</v>
      </c>
      <c r="D63" s="14">
        <v>275</v>
      </c>
      <c r="E63" s="6"/>
      <c r="F63" s="6"/>
    </row>
    <row r="64" spans="1:6" x14ac:dyDescent="0.25">
      <c r="A64" s="2" t="s">
        <v>582</v>
      </c>
      <c r="B64" s="2" t="s">
        <v>583</v>
      </c>
      <c r="C64" s="2" t="s">
        <v>448</v>
      </c>
      <c r="D64" s="14">
        <v>275</v>
      </c>
      <c r="E64" s="6"/>
      <c r="F64" s="6"/>
    </row>
    <row r="65" spans="1:6" x14ac:dyDescent="0.25">
      <c r="A65" s="2" t="s">
        <v>584</v>
      </c>
      <c r="B65" s="2" t="s">
        <v>585</v>
      </c>
      <c r="C65" s="2" t="s">
        <v>586</v>
      </c>
      <c r="D65" s="14">
        <v>225</v>
      </c>
      <c r="E65" s="6"/>
      <c r="F65" s="6"/>
    </row>
    <row r="66" spans="1:6" x14ac:dyDescent="0.25">
      <c r="A66" s="2" t="s">
        <v>587</v>
      </c>
      <c r="B66" s="2" t="s">
        <v>588</v>
      </c>
      <c r="C66" s="2" t="s">
        <v>586</v>
      </c>
      <c r="D66" s="14">
        <v>225</v>
      </c>
      <c r="E66" s="6"/>
      <c r="F66" s="6"/>
    </row>
    <row r="67" spans="1:6" x14ac:dyDescent="0.25">
      <c r="A67" s="2" t="s">
        <v>589</v>
      </c>
      <c r="B67" s="2" t="s">
        <v>590</v>
      </c>
      <c r="C67" s="2" t="s">
        <v>586</v>
      </c>
      <c r="D67" s="14">
        <v>225</v>
      </c>
      <c r="E67" s="6"/>
      <c r="F67" s="6"/>
    </row>
    <row r="68" spans="1:6" x14ac:dyDescent="0.25">
      <c r="A68" s="2" t="s">
        <v>591</v>
      </c>
      <c r="B68" s="2" t="s">
        <v>592</v>
      </c>
      <c r="C68" s="2" t="s">
        <v>586</v>
      </c>
      <c r="D68" s="14">
        <v>225</v>
      </c>
      <c r="E68" s="6"/>
      <c r="F68" s="6"/>
    </row>
    <row r="69" spans="1:6" x14ac:dyDescent="0.25">
      <c r="A69" s="2" t="s">
        <v>593</v>
      </c>
      <c r="B69" s="2" t="s">
        <v>594</v>
      </c>
      <c r="C69" s="2" t="s">
        <v>586</v>
      </c>
      <c r="D69" s="14">
        <v>225</v>
      </c>
      <c r="E69" s="6"/>
      <c r="F69" s="6"/>
    </row>
    <row r="70" spans="1:6" x14ac:dyDescent="0.25">
      <c r="A70" s="2" t="s">
        <v>595</v>
      </c>
      <c r="B70" s="2" t="s">
        <v>596</v>
      </c>
      <c r="C70" s="2" t="s">
        <v>586</v>
      </c>
      <c r="D70" s="14">
        <v>325</v>
      </c>
      <c r="E70" s="6"/>
      <c r="F70" s="6"/>
    </row>
    <row r="71" spans="1:6" x14ac:dyDescent="0.25">
      <c r="A71" s="2" t="s">
        <v>597</v>
      </c>
      <c r="B71" s="2" t="s">
        <v>598</v>
      </c>
      <c r="C71" s="2" t="s">
        <v>586</v>
      </c>
      <c r="D71" s="14">
        <v>325</v>
      </c>
      <c r="E71" s="6"/>
      <c r="F71" s="6"/>
    </row>
    <row r="72" spans="1:6" x14ac:dyDescent="0.25">
      <c r="A72" s="2" t="s">
        <v>599</v>
      </c>
      <c r="B72" s="2" t="s">
        <v>600</v>
      </c>
      <c r="C72" s="2" t="s">
        <v>586</v>
      </c>
      <c r="D72" s="14">
        <v>325</v>
      </c>
      <c r="E72" s="6"/>
      <c r="F72" s="6"/>
    </row>
    <row r="73" spans="1:6" x14ac:dyDescent="0.25">
      <c r="A73" s="2" t="s">
        <v>601</v>
      </c>
      <c r="B73" s="2" t="s">
        <v>602</v>
      </c>
      <c r="C73" s="2" t="s">
        <v>586</v>
      </c>
      <c r="D73" s="14">
        <v>325</v>
      </c>
      <c r="E73" s="6"/>
      <c r="F73" s="6"/>
    </row>
    <row r="74" spans="1:6" x14ac:dyDescent="0.25">
      <c r="A74" s="2" t="s">
        <v>603</v>
      </c>
      <c r="B74" s="2" t="s">
        <v>604</v>
      </c>
      <c r="C74" s="2" t="s">
        <v>586</v>
      </c>
      <c r="D74" s="14">
        <v>325</v>
      </c>
      <c r="E74" s="6"/>
      <c r="F74" s="6"/>
    </row>
    <row r="75" spans="1:6" x14ac:dyDescent="0.25">
      <c r="A75" s="2" t="s">
        <v>605</v>
      </c>
      <c r="B75" s="2" t="s">
        <v>606</v>
      </c>
      <c r="C75" s="2" t="s">
        <v>586</v>
      </c>
      <c r="D75" s="14">
        <v>190</v>
      </c>
      <c r="E75" s="6"/>
      <c r="F75" s="6"/>
    </row>
    <row r="76" spans="1:6" x14ac:dyDescent="0.25">
      <c r="A76" s="2" t="s">
        <v>607</v>
      </c>
      <c r="B76" s="2" t="s">
        <v>608</v>
      </c>
      <c r="C76" s="2" t="s">
        <v>586</v>
      </c>
      <c r="D76" s="14">
        <v>190</v>
      </c>
      <c r="E76" s="6"/>
      <c r="F76" s="6"/>
    </row>
    <row r="77" spans="1:6" x14ac:dyDescent="0.25">
      <c r="A77" s="2" t="s">
        <v>609</v>
      </c>
      <c r="B77" s="2" t="s">
        <v>610</v>
      </c>
      <c r="C77" s="2" t="s">
        <v>586</v>
      </c>
      <c r="D77" s="14">
        <v>190</v>
      </c>
      <c r="E77" s="6"/>
      <c r="F77" s="6"/>
    </row>
    <row r="78" spans="1:6" x14ac:dyDescent="0.25">
      <c r="A78" s="2" t="s">
        <v>611</v>
      </c>
      <c r="B78" s="2" t="s">
        <v>612</v>
      </c>
      <c r="C78" s="2" t="s">
        <v>586</v>
      </c>
      <c r="D78" s="14">
        <v>190</v>
      </c>
      <c r="E78" s="6"/>
      <c r="F78" s="6"/>
    </row>
    <row r="79" spans="1:6" x14ac:dyDescent="0.25">
      <c r="A79" s="2" t="s">
        <v>613</v>
      </c>
      <c r="B79" s="2" t="s">
        <v>614</v>
      </c>
      <c r="C79" s="2" t="s">
        <v>586</v>
      </c>
      <c r="D79" s="14">
        <v>190</v>
      </c>
      <c r="E79" s="6"/>
      <c r="F79" s="6"/>
    </row>
    <row r="80" spans="1:6" x14ac:dyDescent="0.25">
      <c r="A80" s="2" t="s">
        <v>615</v>
      </c>
      <c r="B80" s="2" t="s">
        <v>616</v>
      </c>
      <c r="C80" s="2" t="s">
        <v>586</v>
      </c>
      <c r="D80" s="14">
        <v>170</v>
      </c>
      <c r="E80" s="6"/>
      <c r="F80" s="6"/>
    </row>
    <row r="81" spans="1:6" x14ac:dyDescent="0.25">
      <c r="A81" s="2" t="s">
        <v>617</v>
      </c>
      <c r="B81" s="2" t="s">
        <v>618</v>
      </c>
      <c r="C81" s="2" t="s">
        <v>586</v>
      </c>
      <c r="D81" s="14">
        <v>170</v>
      </c>
      <c r="E81" s="6"/>
      <c r="F81" s="6"/>
    </row>
    <row r="82" spans="1:6" x14ac:dyDescent="0.25">
      <c r="A82" s="2" t="s">
        <v>619</v>
      </c>
      <c r="B82" s="2" t="s">
        <v>620</v>
      </c>
      <c r="C82" s="2" t="s">
        <v>586</v>
      </c>
      <c r="D82" s="14">
        <v>170</v>
      </c>
      <c r="E82" s="6"/>
      <c r="F82" s="6"/>
    </row>
    <row r="83" spans="1:6" x14ac:dyDescent="0.25">
      <c r="A83" s="2" t="s">
        <v>621</v>
      </c>
      <c r="B83" s="2" t="s">
        <v>622</v>
      </c>
      <c r="C83" s="2" t="s">
        <v>586</v>
      </c>
      <c r="D83" s="14">
        <v>170</v>
      </c>
      <c r="E83" s="6"/>
      <c r="F83" s="6"/>
    </row>
    <row r="84" spans="1:6" x14ac:dyDescent="0.25">
      <c r="A84" s="2" t="s">
        <v>623</v>
      </c>
      <c r="B84" s="2" t="s">
        <v>624</v>
      </c>
      <c r="C84" s="2" t="s">
        <v>586</v>
      </c>
      <c r="D84" s="14">
        <v>170</v>
      </c>
      <c r="E84" s="6"/>
      <c r="F84" s="6"/>
    </row>
    <row r="85" spans="1:6" x14ac:dyDescent="0.25">
      <c r="A85" s="2" t="s">
        <v>625</v>
      </c>
      <c r="B85" s="2" t="s">
        <v>626</v>
      </c>
      <c r="C85" s="2" t="s">
        <v>627</v>
      </c>
      <c r="D85" s="14">
        <v>900</v>
      </c>
      <c r="E85" s="6">
        <v>20</v>
      </c>
      <c r="F85" s="6"/>
    </row>
    <row r="86" spans="1:6" x14ac:dyDescent="0.25">
      <c r="A86" s="2" t="s">
        <v>628</v>
      </c>
      <c r="B86" s="2" t="s">
        <v>629</v>
      </c>
      <c r="C86" s="2" t="s">
        <v>519</v>
      </c>
      <c r="D86" s="14">
        <v>185</v>
      </c>
      <c r="E86" s="6"/>
      <c r="F86" s="6"/>
    </row>
    <row r="87" spans="1:6" x14ac:dyDescent="0.25">
      <c r="A87" s="2" t="s">
        <v>630</v>
      </c>
      <c r="B87" s="2" t="s">
        <v>631</v>
      </c>
      <c r="C87" s="2" t="s">
        <v>519</v>
      </c>
      <c r="D87" s="14">
        <v>65</v>
      </c>
      <c r="E87" s="6"/>
      <c r="F87" s="6"/>
    </row>
    <row r="88" spans="1:6" x14ac:dyDescent="0.25">
      <c r="A88" s="2" t="s">
        <v>632</v>
      </c>
      <c r="B88" s="2" t="s">
        <v>633</v>
      </c>
      <c r="C88" s="2" t="s">
        <v>519</v>
      </c>
      <c r="D88" s="14">
        <v>180</v>
      </c>
      <c r="E88" s="6"/>
      <c r="F88" s="6"/>
    </row>
    <row r="89" spans="1:6" x14ac:dyDescent="0.25">
      <c r="A89" s="2" t="s">
        <v>634</v>
      </c>
      <c r="B89" s="2" t="s">
        <v>635</v>
      </c>
      <c r="C89" s="2" t="s">
        <v>519</v>
      </c>
      <c r="D89" s="14">
        <v>30</v>
      </c>
      <c r="E89" s="6"/>
      <c r="F89" s="6"/>
    </row>
    <row r="90" spans="1:6" x14ac:dyDescent="0.25">
      <c r="A90" s="2" t="s">
        <v>636</v>
      </c>
      <c r="B90" s="2" t="s">
        <v>637</v>
      </c>
      <c r="C90" s="2" t="s">
        <v>519</v>
      </c>
      <c r="D90" s="14">
        <v>155</v>
      </c>
      <c r="E90" s="6"/>
      <c r="F90" s="6"/>
    </row>
    <row r="91" spans="1:6" x14ac:dyDescent="0.25">
      <c r="A91" s="2" t="s">
        <v>638</v>
      </c>
      <c r="B91" s="2" t="s">
        <v>639</v>
      </c>
      <c r="C91" s="2" t="s">
        <v>519</v>
      </c>
      <c r="D91" s="14">
        <v>30</v>
      </c>
      <c r="E91" s="6"/>
      <c r="F91" s="6"/>
    </row>
    <row r="92" spans="1:6" x14ac:dyDescent="0.25">
      <c r="A92" s="2" t="s">
        <v>640</v>
      </c>
      <c r="B92" s="2" t="s">
        <v>641</v>
      </c>
      <c r="C92" s="2" t="s">
        <v>519</v>
      </c>
      <c r="D92" s="14">
        <v>220</v>
      </c>
      <c r="E92" s="6"/>
      <c r="F92" s="6"/>
    </row>
    <row r="93" spans="1:6" x14ac:dyDescent="0.25">
      <c r="A93" s="2" t="s">
        <v>642</v>
      </c>
      <c r="B93" s="2" t="s">
        <v>643</v>
      </c>
      <c r="C93" s="2" t="s">
        <v>519</v>
      </c>
      <c r="D93" s="14">
        <v>30</v>
      </c>
      <c r="E93" s="6"/>
      <c r="F93" s="6"/>
    </row>
    <row r="94" spans="1:6" x14ac:dyDescent="0.25">
      <c r="A94" s="2" t="s">
        <v>644</v>
      </c>
      <c r="B94" s="2" t="s">
        <v>645</v>
      </c>
      <c r="C94" s="2" t="s">
        <v>461</v>
      </c>
      <c r="D94" s="14">
        <v>260</v>
      </c>
      <c r="E94" s="6"/>
      <c r="F94" s="6"/>
    </row>
    <row r="95" spans="1:6" x14ac:dyDescent="0.25">
      <c r="A95" s="2" t="s">
        <v>646</v>
      </c>
      <c r="B95" s="2" t="s">
        <v>647</v>
      </c>
      <c r="C95" s="2" t="s">
        <v>519</v>
      </c>
      <c r="D95" s="14">
        <v>1850</v>
      </c>
      <c r="E95" s="6"/>
      <c r="F95" s="6"/>
    </row>
    <row r="96" spans="1:6" x14ac:dyDescent="0.25">
      <c r="A96" s="2" t="s">
        <v>648</v>
      </c>
      <c r="B96" s="2" t="s">
        <v>649</v>
      </c>
      <c r="C96" s="2" t="s">
        <v>519</v>
      </c>
      <c r="D96" s="14">
        <v>1950</v>
      </c>
      <c r="E96" s="6"/>
      <c r="F96" s="6"/>
    </row>
    <row r="97" spans="1:6" x14ac:dyDescent="0.25">
      <c r="A97" s="2" t="s">
        <v>650</v>
      </c>
      <c r="B97" s="2" t="s">
        <v>651</v>
      </c>
      <c r="C97" s="2" t="s">
        <v>652</v>
      </c>
      <c r="D97" s="14">
        <v>1000</v>
      </c>
      <c r="E97" s="6">
        <v>20</v>
      </c>
      <c r="F97" s="6"/>
    </row>
    <row r="98" spans="1:6" x14ac:dyDescent="0.25">
      <c r="A98" s="2" t="s">
        <v>653</v>
      </c>
      <c r="B98" s="2" t="s">
        <v>654</v>
      </c>
      <c r="C98" s="2" t="s">
        <v>569</v>
      </c>
      <c r="D98" s="14">
        <v>400</v>
      </c>
      <c r="E98" s="6"/>
      <c r="F98" s="6"/>
    </row>
    <row r="99" spans="1:6" x14ac:dyDescent="0.25">
      <c r="A99" s="2" t="s">
        <v>655</v>
      </c>
      <c r="B99" s="2" t="s">
        <v>656</v>
      </c>
      <c r="C99" s="2" t="s">
        <v>627</v>
      </c>
      <c r="D99" s="14">
        <v>2300</v>
      </c>
      <c r="E99" s="6">
        <v>30</v>
      </c>
      <c r="F99" s="6"/>
    </row>
    <row r="100" spans="1:6" x14ac:dyDescent="0.25">
      <c r="A100" s="2" t="s">
        <v>657</v>
      </c>
      <c r="B100" s="2" t="s">
        <v>658</v>
      </c>
      <c r="C100" s="2" t="s">
        <v>627</v>
      </c>
      <c r="D100" s="14">
        <v>2300</v>
      </c>
      <c r="E100" s="6">
        <v>30</v>
      </c>
      <c r="F100" s="6"/>
    </row>
    <row r="101" spans="1:6" x14ac:dyDescent="0.25">
      <c r="A101" s="2" t="s">
        <v>659</v>
      </c>
      <c r="B101" s="2" t="s">
        <v>660</v>
      </c>
      <c r="C101" s="2" t="s">
        <v>448</v>
      </c>
      <c r="D101" s="14">
        <v>2200</v>
      </c>
      <c r="E101" s="6"/>
      <c r="F101" s="6"/>
    </row>
    <row r="102" spans="1:6" x14ac:dyDescent="0.25">
      <c r="A102" s="2" t="s">
        <v>661</v>
      </c>
      <c r="B102" s="2" t="s">
        <v>662</v>
      </c>
      <c r="C102" s="2" t="s">
        <v>448</v>
      </c>
      <c r="D102" s="14">
        <v>2800</v>
      </c>
      <c r="E102" s="6"/>
      <c r="F102" s="6"/>
    </row>
    <row r="103" spans="1:6" x14ac:dyDescent="0.25">
      <c r="A103" s="2" t="s">
        <v>663</v>
      </c>
      <c r="B103" s="2" t="s">
        <v>664</v>
      </c>
      <c r="C103" s="2" t="s">
        <v>448</v>
      </c>
      <c r="D103" s="14">
        <v>2200</v>
      </c>
      <c r="E103" s="6"/>
      <c r="F103" s="6"/>
    </row>
    <row r="104" spans="1:6" x14ac:dyDescent="0.25">
      <c r="A104" s="2" t="s">
        <v>665</v>
      </c>
      <c r="B104" s="2" t="s">
        <v>666</v>
      </c>
      <c r="C104" s="2" t="s">
        <v>667</v>
      </c>
      <c r="D104" s="14">
        <v>24</v>
      </c>
      <c r="E104" s="6"/>
      <c r="F104" s="6"/>
    </row>
    <row r="105" spans="1:6" x14ac:dyDescent="0.25">
      <c r="A105" s="2" t="s">
        <v>668</v>
      </c>
      <c r="B105" s="2" t="s">
        <v>669</v>
      </c>
      <c r="C105" s="2" t="s">
        <v>667</v>
      </c>
      <c r="D105" s="14">
        <v>75</v>
      </c>
      <c r="E105" s="6"/>
      <c r="F105" s="6"/>
    </row>
    <row r="106" spans="1:6" x14ac:dyDescent="0.25">
      <c r="A106" s="2" t="s">
        <v>670</v>
      </c>
      <c r="B106" s="2" t="s">
        <v>671</v>
      </c>
      <c r="C106" s="2" t="s">
        <v>667</v>
      </c>
      <c r="D106" s="14">
        <v>1000</v>
      </c>
      <c r="E106" s="6"/>
      <c r="F106" s="6"/>
    </row>
    <row r="107" spans="1:6" x14ac:dyDescent="0.25">
      <c r="A107" s="2" t="s">
        <v>672</v>
      </c>
      <c r="B107" s="2" t="s">
        <v>673</v>
      </c>
      <c r="C107" s="2" t="s">
        <v>667</v>
      </c>
      <c r="D107" s="14">
        <v>600</v>
      </c>
      <c r="E107" s="6"/>
      <c r="F107" s="6"/>
    </row>
    <row r="108" spans="1:6" x14ac:dyDescent="0.25">
      <c r="A108" s="2" t="s">
        <v>674</v>
      </c>
      <c r="B108" s="2" t="s">
        <v>675</v>
      </c>
      <c r="C108" s="2" t="s">
        <v>667</v>
      </c>
      <c r="D108" s="14">
        <v>200</v>
      </c>
      <c r="E108" s="6"/>
      <c r="F108" s="6"/>
    </row>
    <row r="109" spans="1:6" x14ac:dyDescent="0.25">
      <c r="A109" s="2" t="s">
        <v>676</v>
      </c>
      <c r="B109" s="2" t="s">
        <v>677</v>
      </c>
      <c r="C109" s="2" t="s">
        <v>667</v>
      </c>
      <c r="D109" s="14">
        <v>16</v>
      </c>
      <c r="E109" s="6"/>
      <c r="F109" s="6"/>
    </row>
    <row r="110" spans="1:6" x14ac:dyDescent="0.25">
      <c r="A110" s="2" t="s">
        <v>678</v>
      </c>
      <c r="B110" s="2" t="s">
        <v>679</v>
      </c>
      <c r="C110" s="2" t="s">
        <v>667</v>
      </c>
      <c r="D110" s="14">
        <v>8</v>
      </c>
      <c r="E110" s="6"/>
      <c r="F110" s="6"/>
    </row>
    <row r="111" spans="1:6" x14ac:dyDescent="0.25">
      <c r="A111" s="2" t="s">
        <v>680</v>
      </c>
      <c r="B111" s="2" t="s">
        <v>681</v>
      </c>
      <c r="C111" s="2" t="s">
        <v>667</v>
      </c>
      <c r="D111" s="14">
        <v>6</v>
      </c>
      <c r="E111" s="6"/>
      <c r="F111" s="6"/>
    </row>
    <row r="112" spans="1:6" x14ac:dyDescent="0.25">
      <c r="A112" s="2" t="s">
        <v>682</v>
      </c>
      <c r="B112" s="2" t="s">
        <v>683</v>
      </c>
      <c r="C112" s="2" t="s">
        <v>461</v>
      </c>
      <c r="D112" s="14">
        <v>250</v>
      </c>
      <c r="E112" s="6"/>
      <c r="F112" s="6"/>
    </row>
    <row r="113" spans="1:6" x14ac:dyDescent="0.25">
      <c r="A113" s="2" t="s">
        <v>684</v>
      </c>
      <c r="B113" s="2" t="s">
        <v>685</v>
      </c>
      <c r="C113" s="2" t="s">
        <v>461</v>
      </c>
      <c r="D113" s="14">
        <v>800</v>
      </c>
      <c r="E113" s="6"/>
      <c r="F113" s="6"/>
    </row>
    <row r="114" spans="1:6" x14ac:dyDescent="0.25">
      <c r="A114" s="2" t="s">
        <v>686</v>
      </c>
      <c r="B114" s="2" t="s">
        <v>687</v>
      </c>
      <c r="C114" s="2" t="s">
        <v>461</v>
      </c>
      <c r="D114" s="14">
        <v>225</v>
      </c>
      <c r="E114" s="6"/>
      <c r="F114" s="6"/>
    </row>
    <row r="115" spans="1:6" x14ac:dyDescent="0.25">
      <c r="A115" s="2" t="s">
        <v>688</v>
      </c>
      <c r="B115" s="2" t="s">
        <v>689</v>
      </c>
      <c r="C115" s="2" t="s">
        <v>448</v>
      </c>
      <c r="D115" s="14">
        <v>375</v>
      </c>
      <c r="E115" s="6"/>
      <c r="F115" s="6"/>
    </row>
    <row r="116" spans="1:6" x14ac:dyDescent="0.25">
      <c r="A116" s="2" t="s">
        <v>690</v>
      </c>
      <c r="B116" s="2" t="s">
        <v>691</v>
      </c>
      <c r="C116" s="2" t="s">
        <v>448</v>
      </c>
      <c r="D116" s="14">
        <v>375</v>
      </c>
      <c r="E116" s="6"/>
      <c r="F116" s="6"/>
    </row>
    <row r="117" spans="1:6" x14ac:dyDescent="0.25">
      <c r="A117" s="2" t="s">
        <v>692</v>
      </c>
      <c r="B117" s="2" t="s">
        <v>693</v>
      </c>
      <c r="C117" s="2" t="s">
        <v>448</v>
      </c>
      <c r="D117" s="14">
        <v>375</v>
      </c>
      <c r="E117" s="6"/>
      <c r="F117" s="6"/>
    </row>
    <row r="118" spans="1:6" x14ac:dyDescent="0.25">
      <c r="A118" s="2" t="s">
        <v>694</v>
      </c>
      <c r="B118" s="2" t="s">
        <v>695</v>
      </c>
      <c r="C118" s="2" t="s">
        <v>448</v>
      </c>
      <c r="D118" s="14">
        <v>375</v>
      </c>
      <c r="E118" s="6"/>
      <c r="F118" s="6"/>
    </row>
    <row r="119" spans="1:6" x14ac:dyDescent="0.25">
      <c r="A119" s="2" t="s">
        <v>696</v>
      </c>
      <c r="B119" s="2" t="s">
        <v>697</v>
      </c>
      <c r="C119" s="2" t="s">
        <v>448</v>
      </c>
      <c r="D119" s="14">
        <v>375</v>
      </c>
      <c r="E119" s="6"/>
      <c r="F119" s="6"/>
    </row>
    <row r="120" spans="1:6" x14ac:dyDescent="0.25">
      <c r="A120" s="2" t="s">
        <v>698</v>
      </c>
      <c r="B120" s="2" t="s">
        <v>699</v>
      </c>
      <c r="C120" s="2" t="s">
        <v>448</v>
      </c>
      <c r="D120" s="14">
        <v>375</v>
      </c>
      <c r="E120" s="6"/>
      <c r="F120" s="6"/>
    </row>
    <row r="121" spans="1:6" x14ac:dyDescent="0.25">
      <c r="A121" s="2" t="s">
        <v>700</v>
      </c>
      <c r="B121" s="2" t="s">
        <v>701</v>
      </c>
      <c r="C121" s="2" t="s">
        <v>448</v>
      </c>
      <c r="D121" s="14">
        <v>375</v>
      </c>
      <c r="E121" s="6"/>
      <c r="F121" s="6"/>
    </row>
    <row r="122" spans="1:6" x14ac:dyDescent="0.25">
      <c r="A122" s="2" t="s">
        <v>702</v>
      </c>
      <c r="B122" s="2" t="s">
        <v>703</v>
      </c>
      <c r="C122" s="2" t="s">
        <v>652</v>
      </c>
      <c r="D122" s="14">
        <v>2800</v>
      </c>
      <c r="E122" s="6">
        <v>25</v>
      </c>
      <c r="F122" s="6"/>
    </row>
    <row r="123" spans="1:6" x14ac:dyDescent="0.25">
      <c r="A123" s="2" t="s">
        <v>704</v>
      </c>
      <c r="B123" s="2" t="s">
        <v>705</v>
      </c>
      <c r="C123" s="2" t="s">
        <v>652</v>
      </c>
      <c r="D123" s="14">
        <v>475</v>
      </c>
      <c r="E123" s="6">
        <v>50</v>
      </c>
      <c r="F123" s="6"/>
    </row>
    <row r="124" spans="1:6" x14ac:dyDescent="0.25">
      <c r="A124" s="2" t="s">
        <v>706</v>
      </c>
      <c r="B124" s="2" t="s">
        <v>707</v>
      </c>
      <c r="C124" s="2" t="s">
        <v>448</v>
      </c>
      <c r="D124" s="14">
        <v>180</v>
      </c>
      <c r="E124" s="6"/>
      <c r="F124" s="6"/>
    </row>
    <row r="125" spans="1:6" x14ac:dyDescent="0.25">
      <c r="A125" s="2" t="s">
        <v>708</v>
      </c>
      <c r="B125" s="2" t="s">
        <v>709</v>
      </c>
      <c r="C125" s="2" t="s">
        <v>448</v>
      </c>
      <c r="D125" s="14">
        <v>75</v>
      </c>
      <c r="E125" s="6"/>
      <c r="F125" s="6"/>
    </row>
    <row r="126" spans="1:6" x14ac:dyDescent="0.25">
      <c r="A126" s="2" t="s">
        <v>710</v>
      </c>
      <c r="B126" s="2" t="s">
        <v>711</v>
      </c>
      <c r="C126" s="2" t="s">
        <v>712</v>
      </c>
      <c r="D126" s="14">
        <v>1200</v>
      </c>
      <c r="E126" s="6"/>
      <c r="F126" s="6"/>
    </row>
    <row r="127" spans="1:6" x14ac:dyDescent="0.25">
      <c r="A127" s="2" t="s">
        <v>713</v>
      </c>
      <c r="B127" s="2" t="s">
        <v>714</v>
      </c>
      <c r="C127" s="2" t="s">
        <v>712</v>
      </c>
      <c r="D127" s="14">
        <v>500</v>
      </c>
      <c r="E127" s="6"/>
      <c r="F127" s="6"/>
    </row>
    <row r="128" spans="1:6" x14ac:dyDescent="0.25">
      <c r="A128" s="2" t="s">
        <v>715</v>
      </c>
      <c r="B128" s="2" t="s">
        <v>716</v>
      </c>
      <c r="C128" s="2" t="s">
        <v>712</v>
      </c>
      <c r="D128" s="14">
        <v>200</v>
      </c>
      <c r="E128" s="6"/>
      <c r="F128" s="6"/>
    </row>
    <row r="129" spans="1:6" x14ac:dyDescent="0.25">
      <c r="A129" s="2" t="s">
        <v>717</v>
      </c>
      <c r="B129" s="2" t="s">
        <v>718</v>
      </c>
      <c r="C129" s="2" t="s">
        <v>569</v>
      </c>
      <c r="D129" s="14">
        <v>40</v>
      </c>
      <c r="E129" s="6"/>
      <c r="F129" s="6"/>
    </row>
    <row r="130" spans="1:6" x14ac:dyDescent="0.25">
      <c r="A130" s="2" t="s">
        <v>719</v>
      </c>
      <c r="B130" s="2" t="s">
        <v>720</v>
      </c>
      <c r="C130" s="2" t="s">
        <v>721</v>
      </c>
      <c r="D130" s="14">
        <v>100</v>
      </c>
      <c r="E130" s="6"/>
      <c r="F130" s="6"/>
    </row>
    <row r="131" spans="1:6" x14ac:dyDescent="0.25">
      <c r="A131" s="2" t="s">
        <v>722</v>
      </c>
      <c r="B131" s="2" t="s">
        <v>723</v>
      </c>
      <c r="C131" s="2" t="s">
        <v>469</v>
      </c>
      <c r="D131" s="14">
        <v>490</v>
      </c>
      <c r="E131" s="6">
        <v>10</v>
      </c>
      <c r="F131" s="6"/>
    </row>
    <row r="132" spans="1:6" x14ac:dyDescent="0.25">
      <c r="A132" s="2" t="s">
        <v>724</v>
      </c>
      <c r="B132" s="2" t="s">
        <v>725</v>
      </c>
      <c r="C132" s="2" t="s">
        <v>469</v>
      </c>
      <c r="D132" s="14">
        <v>325</v>
      </c>
      <c r="E132" s="6">
        <v>5</v>
      </c>
      <c r="F132" s="6"/>
    </row>
    <row r="133" spans="1:6" x14ac:dyDescent="0.25">
      <c r="A133" s="2" t="s">
        <v>726</v>
      </c>
      <c r="B133" s="2" t="s">
        <v>727</v>
      </c>
      <c r="C133" s="2" t="s">
        <v>721</v>
      </c>
      <c r="D133" s="14">
        <v>3000</v>
      </c>
      <c r="E133" s="6">
        <v>50</v>
      </c>
      <c r="F133" s="6"/>
    </row>
    <row r="134" spans="1:6" x14ac:dyDescent="0.25">
      <c r="A134" s="2" t="s">
        <v>728</v>
      </c>
      <c r="B134" s="2" t="s">
        <v>729</v>
      </c>
      <c r="C134" s="2" t="s">
        <v>721</v>
      </c>
      <c r="D134" s="14">
        <v>3000</v>
      </c>
      <c r="E134" s="6">
        <v>50</v>
      </c>
      <c r="F134" s="6"/>
    </row>
    <row r="135" spans="1:6" x14ac:dyDescent="0.25">
      <c r="A135" s="2" t="s">
        <v>730</v>
      </c>
      <c r="B135" s="2" t="s">
        <v>731</v>
      </c>
      <c r="C135" s="2" t="s">
        <v>732</v>
      </c>
      <c r="D135" s="14">
        <v>750</v>
      </c>
      <c r="E135" s="6"/>
      <c r="F135" s="6"/>
    </row>
    <row r="136" spans="1:6" x14ac:dyDescent="0.25">
      <c r="A136" s="2" t="s">
        <v>733</v>
      </c>
      <c r="B136" s="2" t="s">
        <v>734</v>
      </c>
      <c r="C136" s="2" t="s">
        <v>735</v>
      </c>
      <c r="D136" s="14">
        <v>850</v>
      </c>
      <c r="E136" s="6">
        <v>50</v>
      </c>
      <c r="F136" s="6"/>
    </row>
    <row r="137" spans="1:6" x14ac:dyDescent="0.25">
      <c r="A137" s="2" t="s">
        <v>736</v>
      </c>
      <c r="B137" s="2" t="s">
        <v>737</v>
      </c>
      <c r="C137" s="2" t="s">
        <v>735</v>
      </c>
      <c r="D137" s="14">
        <v>1000</v>
      </c>
      <c r="E137" s="6">
        <v>50</v>
      </c>
      <c r="F137" s="6"/>
    </row>
    <row r="138" spans="1:6" x14ac:dyDescent="0.25">
      <c r="A138" s="2" t="s">
        <v>738</v>
      </c>
      <c r="B138" s="2" t="s">
        <v>739</v>
      </c>
      <c r="C138" s="2" t="s">
        <v>732</v>
      </c>
      <c r="D138" s="14">
        <v>450</v>
      </c>
      <c r="E138" s="6"/>
      <c r="F138" s="6"/>
    </row>
    <row r="139" spans="1:6" x14ac:dyDescent="0.25">
      <c r="A139" s="2" t="s">
        <v>740</v>
      </c>
      <c r="B139" s="2" t="s">
        <v>741</v>
      </c>
      <c r="C139" s="2" t="s">
        <v>732</v>
      </c>
      <c r="D139" s="14">
        <v>500</v>
      </c>
      <c r="E139" s="6"/>
      <c r="F139" s="6"/>
    </row>
    <row r="140" spans="1:6" x14ac:dyDescent="0.25">
      <c r="A140" s="2" t="s">
        <v>742</v>
      </c>
      <c r="B140" s="2" t="s">
        <v>743</v>
      </c>
      <c r="C140" s="2" t="s">
        <v>735</v>
      </c>
      <c r="D140" s="14">
        <v>690</v>
      </c>
      <c r="E140" s="6">
        <v>50</v>
      </c>
      <c r="F140" s="6"/>
    </row>
    <row r="141" spans="1:6" x14ac:dyDescent="0.25">
      <c r="A141" s="2" t="s">
        <v>744</v>
      </c>
      <c r="B141" s="2" t="s">
        <v>745</v>
      </c>
      <c r="C141" s="2" t="s">
        <v>735</v>
      </c>
      <c r="D141" s="14">
        <v>800</v>
      </c>
      <c r="E141" s="6">
        <v>50</v>
      </c>
      <c r="F141" s="6"/>
    </row>
    <row r="142" spans="1:6" x14ac:dyDescent="0.25">
      <c r="A142" s="2" t="s">
        <v>746</v>
      </c>
      <c r="B142" s="2" t="s">
        <v>747</v>
      </c>
      <c r="C142" s="2" t="s">
        <v>732</v>
      </c>
      <c r="D142" s="14">
        <v>800</v>
      </c>
      <c r="E142" s="6"/>
      <c r="F142" s="6"/>
    </row>
    <row r="143" spans="1:6" x14ac:dyDescent="0.25">
      <c r="A143" s="2" t="s">
        <v>748</v>
      </c>
      <c r="B143" s="2" t="s">
        <v>749</v>
      </c>
      <c r="C143" s="2" t="s">
        <v>732</v>
      </c>
      <c r="D143" s="14">
        <v>900</v>
      </c>
      <c r="E143" s="6"/>
      <c r="F143" s="6"/>
    </row>
    <row r="144" spans="1:6" x14ac:dyDescent="0.25">
      <c r="A144" s="2" t="s">
        <v>750</v>
      </c>
      <c r="B144" s="2" t="s">
        <v>751</v>
      </c>
      <c r="C144" s="2" t="s">
        <v>448</v>
      </c>
      <c r="D144" s="14">
        <v>650</v>
      </c>
      <c r="E144" s="6"/>
      <c r="F144" s="6"/>
    </row>
    <row r="145" spans="1:6" x14ac:dyDescent="0.25">
      <c r="A145" s="2" t="s">
        <v>752</v>
      </c>
      <c r="B145" s="2" t="s">
        <v>753</v>
      </c>
      <c r="C145" s="2" t="s">
        <v>448</v>
      </c>
      <c r="D145" s="14">
        <v>650</v>
      </c>
      <c r="E145" s="6"/>
      <c r="F145" s="6"/>
    </row>
    <row r="146" spans="1:6" x14ac:dyDescent="0.25">
      <c r="A146" s="2" t="s">
        <v>754</v>
      </c>
      <c r="B146" s="2" t="s">
        <v>755</v>
      </c>
      <c r="C146" s="2" t="s">
        <v>732</v>
      </c>
      <c r="D146" s="14">
        <v>650</v>
      </c>
      <c r="E146" s="6"/>
      <c r="F146" s="6"/>
    </row>
    <row r="147" spans="1:6" x14ac:dyDescent="0.25">
      <c r="A147" s="2" t="s">
        <v>756</v>
      </c>
      <c r="B147" s="2" t="s">
        <v>757</v>
      </c>
      <c r="C147" s="2" t="s">
        <v>448</v>
      </c>
      <c r="D147" s="14">
        <v>110</v>
      </c>
      <c r="E147" s="6"/>
      <c r="F147" s="6"/>
    </row>
    <row r="148" spans="1:6" x14ac:dyDescent="0.25">
      <c r="A148" s="2" t="s">
        <v>758</v>
      </c>
      <c r="B148" s="2" t="s">
        <v>759</v>
      </c>
      <c r="C148" s="2" t="s">
        <v>760</v>
      </c>
      <c r="D148" s="14">
        <v>700</v>
      </c>
      <c r="E148" s="6"/>
      <c r="F148" s="6"/>
    </row>
    <row r="149" spans="1:6" x14ac:dyDescent="0.25">
      <c r="A149" s="2" t="s">
        <v>761</v>
      </c>
      <c r="B149" s="2" t="s">
        <v>762</v>
      </c>
      <c r="C149" s="2" t="s">
        <v>760</v>
      </c>
      <c r="D149" s="14">
        <v>575</v>
      </c>
      <c r="E149" s="6"/>
      <c r="F149" s="6"/>
    </row>
    <row r="150" spans="1:6" x14ac:dyDescent="0.25">
      <c r="A150" s="2" t="s">
        <v>763</v>
      </c>
      <c r="B150" s="2" t="s">
        <v>764</v>
      </c>
      <c r="C150" s="2" t="s">
        <v>760</v>
      </c>
      <c r="D150" s="14">
        <v>950</v>
      </c>
      <c r="E150" s="6"/>
      <c r="F150" s="6"/>
    </row>
    <row r="151" spans="1:6" x14ac:dyDescent="0.25">
      <c r="A151" s="2" t="s">
        <v>765</v>
      </c>
      <c r="B151" s="2" t="s">
        <v>766</v>
      </c>
      <c r="C151" s="2" t="s">
        <v>760</v>
      </c>
      <c r="D151" s="14">
        <v>475</v>
      </c>
      <c r="E151" s="6"/>
      <c r="F151" s="6"/>
    </row>
    <row r="152" spans="1:6" x14ac:dyDescent="0.25">
      <c r="A152" s="2" t="s">
        <v>767</v>
      </c>
      <c r="B152" s="2" t="s">
        <v>768</v>
      </c>
      <c r="C152" s="2" t="s">
        <v>760</v>
      </c>
      <c r="D152" s="14">
        <v>500</v>
      </c>
      <c r="E152" s="6"/>
      <c r="F152" s="6"/>
    </row>
    <row r="153" spans="1:6" x14ac:dyDescent="0.25">
      <c r="A153" s="2" t="s">
        <v>769</v>
      </c>
      <c r="B153" s="2" t="s">
        <v>770</v>
      </c>
      <c r="C153" s="2" t="s">
        <v>760</v>
      </c>
      <c r="D153" s="14">
        <v>250</v>
      </c>
      <c r="E153" s="6"/>
      <c r="F153" s="6"/>
    </row>
    <row r="154" spans="1:6" x14ac:dyDescent="0.25">
      <c r="A154" s="2" t="s">
        <v>771</v>
      </c>
      <c r="B154" s="2" t="s">
        <v>772</v>
      </c>
      <c r="C154" s="2" t="s">
        <v>476</v>
      </c>
      <c r="D154" s="14">
        <v>900</v>
      </c>
      <c r="E154" s="6">
        <v>1</v>
      </c>
      <c r="F154" s="6"/>
    </row>
    <row r="155" spans="1:6" x14ac:dyDescent="0.25">
      <c r="A155" s="2" t="s">
        <v>773</v>
      </c>
      <c r="B155" s="2" t="s">
        <v>774</v>
      </c>
      <c r="C155" s="2" t="s">
        <v>569</v>
      </c>
      <c r="D155" s="14">
        <v>175</v>
      </c>
      <c r="E155" s="6"/>
      <c r="F155" s="6"/>
    </row>
    <row r="156" spans="1:6" x14ac:dyDescent="0.25">
      <c r="A156" s="2" t="s">
        <v>775</v>
      </c>
      <c r="B156" s="2" t="s">
        <v>776</v>
      </c>
      <c r="C156" s="2" t="s">
        <v>556</v>
      </c>
      <c r="D156" s="14">
        <v>525</v>
      </c>
      <c r="E156" s="6"/>
      <c r="F156" s="6"/>
    </row>
    <row r="157" spans="1:6" x14ac:dyDescent="0.25">
      <c r="A157" s="2" t="s">
        <v>777</v>
      </c>
      <c r="B157" s="2" t="s">
        <v>778</v>
      </c>
      <c r="C157" s="2" t="s">
        <v>556</v>
      </c>
      <c r="D157" s="14">
        <v>525</v>
      </c>
      <c r="E157" s="6"/>
      <c r="F157" s="6"/>
    </row>
    <row r="158" spans="1:6" x14ac:dyDescent="0.25">
      <c r="A158" s="2" t="s">
        <v>779</v>
      </c>
      <c r="B158" s="2" t="s">
        <v>780</v>
      </c>
      <c r="C158" s="2" t="s">
        <v>469</v>
      </c>
      <c r="D158" s="14">
        <v>895</v>
      </c>
      <c r="E158" s="6">
        <v>50</v>
      </c>
      <c r="F158" s="6"/>
    </row>
    <row r="159" spans="1:6" x14ac:dyDescent="0.25">
      <c r="A159" s="2" t="s">
        <v>781</v>
      </c>
      <c r="B159" s="2" t="s">
        <v>782</v>
      </c>
      <c r="C159" s="2" t="s">
        <v>627</v>
      </c>
      <c r="D159" s="14">
        <v>1250</v>
      </c>
      <c r="E159" s="6">
        <v>50</v>
      </c>
      <c r="F159" s="6"/>
    </row>
    <row r="160" spans="1:6" x14ac:dyDescent="0.25">
      <c r="A160" s="2" t="s">
        <v>783</v>
      </c>
      <c r="B160" s="2" t="s">
        <v>784</v>
      </c>
      <c r="C160" s="2" t="s">
        <v>760</v>
      </c>
      <c r="D160" s="14">
        <v>375</v>
      </c>
      <c r="E160" s="6"/>
      <c r="F160" s="6"/>
    </row>
    <row r="161" spans="1:6" x14ac:dyDescent="0.25">
      <c r="A161" s="2" t="s">
        <v>785</v>
      </c>
      <c r="B161" s="2" t="s">
        <v>786</v>
      </c>
      <c r="C161" s="2" t="s">
        <v>760</v>
      </c>
      <c r="D161" s="14">
        <v>360</v>
      </c>
      <c r="E161" s="6"/>
      <c r="F161" s="6"/>
    </row>
    <row r="162" spans="1:6" x14ac:dyDescent="0.25">
      <c r="A162" s="2" t="s">
        <v>787</v>
      </c>
      <c r="B162" s="2" t="s">
        <v>788</v>
      </c>
      <c r="C162" s="2" t="s">
        <v>760</v>
      </c>
      <c r="D162" s="14">
        <v>315</v>
      </c>
      <c r="E162" s="6"/>
      <c r="F162" s="6"/>
    </row>
    <row r="163" spans="1:6" x14ac:dyDescent="0.25">
      <c r="A163" s="2" t="s">
        <v>789</v>
      </c>
      <c r="B163" s="2" t="s">
        <v>790</v>
      </c>
      <c r="C163" s="2" t="s">
        <v>464</v>
      </c>
      <c r="D163" s="14">
        <v>240000</v>
      </c>
      <c r="E163" s="6"/>
      <c r="F163" s="6"/>
    </row>
    <row r="164" spans="1:6" x14ac:dyDescent="0.25">
      <c r="A164" s="2" t="s">
        <v>791</v>
      </c>
      <c r="B164" s="2" t="s">
        <v>792</v>
      </c>
      <c r="C164" s="2" t="s">
        <v>667</v>
      </c>
      <c r="D164" s="14">
        <v>20</v>
      </c>
      <c r="E164" s="6"/>
      <c r="F164" s="6"/>
    </row>
    <row r="165" spans="1:6" x14ac:dyDescent="0.25">
      <c r="A165" s="2" t="s">
        <v>793</v>
      </c>
      <c r="B165" s="2" t="s">
        <v>794</v>
      </c>
      <c r="C165" s="2" t="s">
        <v>721</v>
      </c>
      <c r="D165" s="14">
        <v>1600</v>
      </c>
      <c r="E165" s="6">
        <v>100</v>
      </c>
      <c r="F165" s="6"/>
    </row>
    <row r="166" spans="1:6" x14ac:dyDescent="0.25">
      <c r="A166" s="2" t="s">
        <v>795</v>
      </c>
      <c r="B166" s="2" t="s">
        <v>796</v>
      </c>
      <c r="C166" s="2" t="s">
        <v>556</v>
      </c>
      <c r="D166" s="14">
        <v>1075</v>
      </c>
      <c r="E166" s="6"/>
      <c r="F166" s="6"/>
    </row>
    <row r="167" spans="1:6" x14ac:dyDescent="0.25">
      <c r="A167" s="2" t="s">
        <v>797</v>
      </c>
      <c r="B167" s="2" t="s">
        <v>798</v>
      </c>
      <c r="C167" s="2" t="s">
        <v>556</v>
      </c>
      <c r="D167" s="14">
        <v>1315</v>
      </c>
      <c r="E167" s="6"/>
      <c r="F167" s="6"/>
    </row>
    <row r="168" spans="1:6" x14ac:dyDescent="0.25">
      <c r="A168" s="2" t="s">
        <v>799</v>
      </c>
      <c r="B168" s="2" t="s">
        <v>800</v>
      </c>
      <c r="C168" s="2" t="s">
        <v>801</v>
      </c>
      <c r="D168" s="14">
        <v>675</v>
      </c>
      <c r="E168" s="6"/>
      <c r="F168" s="6"/>
    </row>
    <row r="169" spans="1:6" x14ac:dyDescent="0.25">
      <c r="A169" s="2" t="s">
        <v>802</v>
      </c>
      <c r="B169" s="2" t="s">
        <v>803</v>
      </c>
      <c r="C169" s="2" t="s">
        <v>801</v>
      </c>
      <c r="D169" s="14">
        <v>915</v>
      </c>
      <c r="E169" s="6"/>
      <c r="F169" s="6"/>
    </row>
    <row r="170" spans="1:6" x14ac:dyDescent="0.25">
      <c r="A170" s="2" t="s">
        <v>804</v>
      </c>
      <c r="B170" s="2" t="s">
        <v>805</v>
      </c>
      <c r="C170" s="2" t="s">
        <v>801</v>
      </c>
      <c r="D170" s="14">
        <v>795</v>
      </c>
      <c r="E170" s="6"/>
      <c r="F170" s="6"/>
    </row>
    <row r="171" spans="1:6" x14ac:dyDescent="0.25">
      <c r="A171" s="2" t="s">
        <v>806</v>
      </c>
      <c r="B171" s="2" t="s">
        <v>807</v>
      </c>
      <c r="C171" s="2" t="s">
        <v>556</v>
      </c>
      <c r="D171" s="14">
        <v>2200</v>
      </c>
      <c r="E171" s="6"/>
      <c r="F171" s="6"/>
    </row>
    <row r="172" spans="1:6" x14ac:dyDescent="0.25">
      <c r="A172" s="2" t="s">
        <v>808</v>
      </c>
      <c r="B172" s="2" t="s">
        <v>809</v>
      </c>
      <c r="C172" s="2" t="s">
        <v>556</v>
      </c>
      <c r="D172" s="14">
        <v>2200</v>
      </c>
      <c r="E172" s="6"/>
      <c r="F172" s="6"/>
    </row>
    <row r="173" spans="1:6" x14ac:dyDescent="0.25">
      <c r="A173" s="2" t="s">
        <v>810</v>
      </c>
      <c r="B173" s="2" t="s">
        <v>811</v>
      </c>
      <c r="C173" s="2" t="s">
        <v>556</v>
      </c>
      <c r="D173" s="14">
        <v>2200</v>
      </c>
      <c r="E173" s="6"/>
      <c r="F173" s="6"/>
    </row>
    <row r="174" spans="1:6" x14ac:dyDescent="0.25">
      <c r="A174" s="2" t="s">
        <v>812</v>
      </c>
      <c r="B174" s="2" t="s">
        <v>813</v>
      </c>
      <c r="C174" s="2" t="s">
        <v>448</v>
      </c>
      <c r="D174" s="14">
        <v>150</v>
      </c>
      <c r="E174" s="6"/>
      <c r="F174" s="6"/>
    </row>
    <row r="175" spans="1:6" x14ac:dyDescent="0.25">
      <c r="A175" s="2" t="s">
        <v>814</v>
      </c>
      <c r="B175" s="2" t="s">
        <v>815</v>
      </c>
      <c r="C175" s="2" t="s">
        <v>448</v>
      </c>
      <c r="D175" s="14">
        <v>75</v>
      </c>
      <c r="E175" s="6"/>
      <c r="F175" s="6"/>
    </row>
    <row r="176" spans="1:6" x14ac:dyDescent="0.25">
      <c r="A176" s="2" t="s">
        <v>816</v>
      </c>
      <c r="B176" s="2" t="s">
        <v>817</v>
      </c>
      <c r="C176" s="2" t="s">
        <v>448</v>
      </c>
      <c r="D176" s="14">
        <v>40</v>
      </c>
      <c r="E176" s="6"/>
      <c r="F176" s="6"/>
    </row>
    <row r="177" spans="1:6" x14ac:dyDescent="0.25">
      <c r="A177" s="2" t="s">
        <v>818</v>
      </c>
      <c r="B177" s="2" t="s">
        <v>819</v>
      </c>
      <c r="C177" s="2" t="s">
        <v>448</v>
      </c>
      <c r="D177" s="14">
        <v>45</v>
      </c>
      <c r="E177" s="6"/>
      <c r="F177" s="6"/>
    </row>
    <row r="178" spans="1:6" x14ac:dyDescent="0.25">
      <c r="A178" s="2" t="s">
        <v>820</v>
      </c>
      <c r="B178" s="2" t="s">
        <v>821</v>
      </c>
      <c r="C178" s="2" t="s">
        <v>461</v>
      </c>
      <c r="D178" s="14">
        <v>220</v>
      </c>
      <c r="E178" s="6"/>
      <c r="F178" s="6"/>
    </row>
    <row r="179" spans="1:6" x14ac:dyDescent="0.25">
      <c r="A179" s="2" t="s">
        <v>822</v>
      </c>
      <c r="B179" s="2" t="s">
        <v>823</v>
      </c>
      <c r="C179" s="2" t="s">
        <v>448</v>
      </c>
      <c r="D179" s="14">
        <v>250</v>
      </c>
      <c r="E179" s="6"/>
      <c r="F179" s="6"/>
    </row>
    <row r="180" spans="1:6" x14ac:dyDescent="0.25">
      <c r="A180" s="2" t="s">
        <v>824</v>
      </c>
      <c r="B180" s="2" t="s">
        <v>825</v>
      </c>
      <c r="C180" s="2" t="s">
        <v>448</v>
      </c>
      <c r="D180" s="14">
        <v>200</v>
      </c>
      <c r="E180" s="6"/>
      <c r="F180" s="6"/>
    </row>
    <row r="181" spans="1:6" x14ac:dyDescent="0.25">
      <c r="A181" s="2" t="s">
        <v>826</v>
      </c>
      <c r="B181" s="2" t="s">
        <v>827</v>
      </c>
      <c r="C181" s="2" t="s">
        <v>448</v>
      </c>
      <c r="D181" s="14">
        <v>2500</v>
      </c>
      <c r="E181" s="6"/>
      <c r="F181" s="6"/>
    </row>
    <row r="182" spans="1:6" x14ac:dyDescent="0.25">
      <c r="A182" s="2" t="s">
        <v>828</v>
      </c>
      <c r="B182" s="2" t="s">
        <v>829</v>
      </c>
      <c r="C182" s="2" t="s">
        <v>448</v>
      </c>
      <c r="D182" s="14">
        <v>420</v>
      </c>
      <c r="E182" s="6"/>
      <c r="F182" s="6"/>
    </row>
    <row r="183" spans="1:6" x14ac:dyDescent="0.25">
      <c r="A183" s="2" t="s">
        <v>830</v>
      </c>
      <c r="B183" s="2" t="s">
        <v>831</v>
      </c>
      <c r="C183" s="2" t="s">
        <v>448</v>
      </c>
      <c r="D183" s="14">
        <v>470</v>
      </c>
      <c r="E183" s="6"/>
      <c r="F183" s="6"/>
    </row>
    <row r="184" spans="1:6" x14ac:dyDescent="0.25">
      <c r="A184" s="2" t="s">
        <v>832</v>
      </c>
      <c r="B184" s="2" t="s">
        <v>833</v>
      </c>
      <c r="C184" s="2" t="s">
        <v>448</v>
      </c>
      <c r="D184" s="14">
        <v>675</v>
      </c>
      <c r="E184" s="6"/>
      <c r="F184" s="6"/>
    </row>
    <row r="185" spans="1:6" x14ac:dyDescent="0.25">
      <c r="A185" s="2" t="s">
        <v>834</v>
      </c>
      <c r="B185" s="2" t="s">
        <v>835</v>
      </c>
      <c r="C185" s="2" t="s">
        <v>448</v>
      </c>
      <c r="D185" s="14">
        <v>115</v>
      </c>
      <c r="E185" s="6"/>
      <c r="F185" s="6"/>
    </row>
    <row r="186" spans="1:6" x14ac:dyDescent="0.25">
      <c r="A186" s="2" t="s">
        <v>836</v>
      </c>
      <c r="B186" s="2" t="s">
        <v>837</v>
      </c>
      <c r="C186" s="2" t="s">
        <v>448</v>
      </c>
      <c r="D186" s="14">
        <v>10</v>
      </c>
      <c r="E186" s="6"/>
      <c r="F186" s="6"/>
    </row>
    <row r="187" spans="1:6" x14ac:dyDescent="0.25">
      <c r="A187" s="2" t="s">
        <v>838</v>
      </c>
      <c r="B187" s="2" t="s">
        <v>839</v>
      </c>
      <c r="C187" s="2" t="s">
        <v>448</v>
      </c>
      <c r="D187" s="14">
        <v>5</v>
      </c>
      <c r="E187" s="6"/>
      <c r="F187" s="6"/>
    </row>
    <row r="188" spans="1:6" x14ac:dyDescent="0.25">
      <c r="A188" s="2" t="s">
        <v>840</v>
      </c>
      <c r="B188" s="2" t="s">
        <v>841</v>
      </c>
      <c r="C188" s="2" t="s">
        <v>448</v>
      </c>
      <c r="D188" s="14">
        <v>4100</v>
      </c>
      <c r="E188" s="6"/>
      <c r="F188" s="6"/>
    </row>
    <row r="189" spans="1:6" x14ac:dyDescent="0.25">
      <c r="A189" s="2" t="s">
        <v>842</v>
      </c>
      <c r="B189" s="2" t="s">
        <v>843</v>
      </c>
      <c r="C189" s="2" t="s">
        <v>448</v>
      </c>
      <c r="D189" s="14">
        <v>2600</v>
      </c>
      <c r="E189" s="6"/>
      <c r="F189" s="6"/>
    </row>
    <row r="190" spans="1:6" x14ac:dyDescent="0.25">
      <c r="A190" s="2" t="s">
        <v>844</v>
      </c>
      <c r="B190" s="2" t="s">
        <v>845</v>
      </c>
      <c r="C190" s="2" t="s">
        <v>569</v>
      </c>
      <c r="D190" s="14">
        <v>25</v>
      </c>
      <c r="E190" s="6"/>
      <c r="F190" s="6"/>
    </row>
    <row r="191" spans="1:6" x14ac:dyDescent="0.25">
      <c r="A191" s="2" t="s">
        <v>846</v>
      </c>
      <c r="B191" s="2" t="s">
        <v>847</v>
      </c>
      <c r="C191" s="2" t="s">
        <v>569</v>
      </c>
      <c r="D191" s="14">
        <v>60</v>
      </c>
      <c r="E191" s="6"/>
      <c r="F191" s="6"/>
    </row>
    <row r="192" spans="1:6" x14ac:dyDescent="0.25">
      <c r="A192" s="2" t="s">
        <v>848</v>
      </c>
      <c r="B192" s="2" t="s">
        <v>849</v>
      </c>
      <c r="C192" s="2" t="s">
        <v>519</v>
      </c>
      <c r="D192" s="14">
        <v>30</v>
      </c>
      <c r="E192" s="6"/>
      <c r="F192" s="6"/>
    </row>
    <row r="193" spans="1:6" x14ac:dyDescent="0.25">
      <c r="A193" s="2" t="s">
        <v>850</v>
      </c>
      <c r="B193" s="2" t="s">
        <v>851</v>
      </c>
      <c r="C193" s="2" t="s">
        <v>448</v>
      </c>
      <c r="D193" s="14">
        <v>10</v>
      </c>
      <c r="E193" s="6"/>
      <c r="F193" s="6"/>
    </row>
    <row r="194" spans="1:6" x14ac:dyDescent="0.25">
      <c r="A194" s="2" t="s">
        <v>852</v>
      </c>
      <c r="B194" s="2" t="s">
        <v>853</v>
      </c>
      <c r="C194" s="2" t="s">
        <v>448</v>
      </c>
      <c r="D194" s="14">
        <v>10</v>
      </c>
      <c r="E194" s="6"/>
      <c r="F194" s="6"/>
    </row>
    <row r="195" spans="1:6" x14ac:dyDescent="0.25">
      <c r="A195" s="2" t="s">
        <v>854</v>
      </c>
      <c r="B195" s="2" t="s">
        <v>855</v>
      </c>
      <c r="C195" s="2" t="s">
        <v>448</v>
      </c>
      <c r="D195" s="14">
        <v>10</v>
      </c>
      <c r="E195" s="6"/>
      <c r="F195" s="6"/>
    </row>
    <row r="196" spans="1:6" x14ac:dyDescent="0.25">
      <c r="A196" s="2" t="s">
        <v>856</v>
      </c>
      <c r="B196" s="2" t="s">
        <v>857</v>
      </c>
      <c r="C196" s="2" t="s">
        <v>448</v>
      </c>
      <c r="D196" s="14">
        <v>10</v>
      </c>
      <c r="E196" s="6"/>
      <c r="F196" s="6"/>
    </row>
    <row r="197" spans="1:6" x14ac:dyDescent="0.25">
      <c r="A197" s="2" t="s">
        <v>858</v>
      </c>
      <c r="B197" s="2" t="s">
        <v>859</v>
      </c>
      <c r="C197" s="2" t="s">
        <v>448</v>
      </c>
      <c r="D197" s="14">
        <v>100</v>
      </c>
      <c r="E197" s="6"/>
      <c r="F197" s="6"/>
    </row>
    <row r="198" spans="1:6" x14ac:dyDescent="0.25">
      <c r="A198" s="2" t="s">
        <v>860</v>
      </c>
      <c r="B198" s="2" t="s">
        <v>861</v>
      </c>
      <c r="C198" s="2" t="s">
        <v>556</v>
      </c>
      <c r="D198" s="14">
        <v>850</v>
      </c>
      <c r="E198" s="6"/>
      <c r="F198" s="6"/>
    </row>
    <row r="199" spans="1:6" x14ac:dyDescent="0.25">
      <c r="A199" s="2" t="s">
        <v>862</v>
      </c>
      <c r="B199" s="2" t="s">
        <v>863</v>
      </c>
      <c r="C199" s="2" t="s">
        <v>469</v>
      </c>
      <c r="D199" s="14">
        <v>450</v>
      </c>
      <c r="E199" s="6">
        <v>15</v>
      </c>
      <c r="F199" s="6"/>
    </row>
    <row r="200" spans="1:6" x14ac:dyDescent="0.25">
      <c r="A200" s="2" t="s">
        <v>864</v>
      </c>
      <c r="B200" s="2" t="s">
        <v>865</v>
      </c>
      <c r="C200" s="2" t="s">
        <v>556</v>
      </c>
      <c r="D200" s="14">
        <v>400</v>
      </c>
      <c r="E200" s="6"/>
      <c r="F200" s="6"/>
    </row>
    <row r="201" spans="1:6" x14ac:dyDescent="0.25">
      <c r="A201" s="2" t="s">
        <v>866</v>
      </c>
      <c r="B201" s="2" t="s">
        <v>867</v>
      </c>
      <c r="C201" s="2" t="s">
        <v>469</v>
      </c>
      <c r="D201" s="14">
        <v>3250</v>
      </c>
      <c r="E201" s="6">
        <v>10</v>
      </c>
      <c r="F201" s="6"/>
    </row>
    <row r="202" spans="1:6" x14ac:dyDescent="0.25">
      <c r="A202" s="2" t="s">
        <v>868</v>
      </c>
      <c r="B202" s="2" t="s">
        <v>869</v>
      </c>
      <c r="C202" s="2" t="s">
        <v>721</v>
      </c>
      <c r="D202" s="14">
        <v>1000</v>
      </c>
      <c r="E202" s="6">
        <v>50</v>
      </c>
      <c r="F202" s="6"/>
    </row>
    <row r="203" spans="1:6" x14ac:dyDescent="0.25">
      <c r="A203" s="2" t="s">
        <v>870</v>
      </c>
      <c r="B203" s="2" t="s">
        <v>871</v>
      </c>
      <c r="C203" s="2" t="s">
        <v>448</v>
      </c>
      <c r="D203" s="14">
        <v>525</v>
      </c>
      <c r="E203" s="6"/>
      <c r="F203" s="6"/>
    </row>
    <row r="204" spans="1:6" x14ac:dyDescent="0.25">
      <c r="A204" s="2" t="s">
        <v>872</v>
      </c>
      <c r="B204" s="2" t="s">
        <v>873</v>
      </c>
      <c r="C204" s="2" t="s">
        <v>448</v>
      </c>
      <c r="D204" s="14">
        <v>465</v>
      </c>
      <c r="E204" s="6"/>
      <c r="F204" s="6"/>
    </row>
    <row r="205" spans="1:6" x14ac:dyDescent="0.25">
      <c r="A205" s="2" t="s">
        <v>874</v>
      </c>
      <c r="B205" s="2" t="s">
        <v>875</v>
      </c>
      <c r="C205" s="2" t="s">
        <v>721</v>
      </c>
      <c r="D205" s="14">
        <v>1400</v>
      </c>
      <c r="E205" s="6">
        <v>80</v>
      </c>
      <c r="F205" s="6"/>
    </row>
    <row r="206" spans="1:6" x14ac:dyDescent="0.25">
      <c r="A206" s="2" t="s">
        <v>876</v>
      </c>
      <c r="B206" s="2" t="s">
        <v>877</v>
      </c>
      <c r="C206" s="2" t="s">
        <v>469</v>
      </c>
      <c r="D206" s="14">
        <v>875</v>
      </c>
      <c r="E206" s="6">
        <v>20</v>
      </c>
      <c r="F206" s="6"/>
    </row>
    <row r="207" spans="1:6" x14ac:dyDescent="0.25">
      <c r="A207" s="2" t="s">
        <v>878</v>
      </c>
      <c r="B207" s="2" t="s">
        <v>879</v>
      </c>
      <c r="C207" s="2" t="s">
        <v>469</v>
      </c>
      <c r="D207" s="14">
        <v>2200</v>
      </c>
      <c r="E207" s="6">
        <v>50</v>
      </c>
      <c r="F207" s="6"/>
    </row>
    <row r="208" spans="1:6" x14ac:dyDescent="0.25">
      <c r="A208" s="2" t="s">
        <v>880</v>
      </c>
      <c r="B208" s="2" t="s">
        <v>881</v>
      </c>
      <c r="C208" s="2" t="s">
        <v>469</v>
      </c>
      <c r="D208" s="14">
        <v>850</v>
      </c>
      <c r="E208" s="6">
        <v>10</v>
      </c>
      <c r="F208" s="6"/>
    </row>
    <row r="209" spans="1:6" x14ac:dyDescent="0.25">
      <c r="A209" s="2" t="s">
        <v>882</v>
      </c>
      <c r="B209" s="2" t="s">
        <v>883</v>
      </c>
      <c r="C209" s="2" t="s">
        <v>448</v>
      </c>
      <c r="D209" s="14">
        <v>36</v>
      </c>
      <c r="E209" s="6"/>
      <c r="F209" s="6">
        <v>1</v>
      </c>
    </row>
    <row r="210" spans="1:6" x14ac:dyDescent="0.25">
      <c r="A210" s="2" t="s">
        <v>884</v>
      </c>
      <c r="B210" s="2" t="s">
        <v>885</v>
      </c>
      <c r="C210" s="2" t="s">
        <v>448</v>
      </c>
      <c r="D210" s="14">
        <v>550</v>
      </c>
      <c r="E210" s="6"/>
      <c r="F210" s="6"/>
    </row>
    <row r="211" spans="1:6" x14ac:dyDescent="0.25">
      <c r="A211" s="2" t="s">
        <v>886</v>
      </c>
      <c r="B211" s="2" t="s">
        <v>887</v>
      </c>
      <c r="C211" s="2" t="s">
        <v>490</v>
      </c>
      <c r="D211" s="14">
        <v>300</v>
      </c>
      <c r="E211" s="6"/>
      <c r="F211" s="6"/>
    </row>
    <row r="212" spans="1:6" x14ac:dyDescent="0.25">
      <c r="A212" s="2" t="s">
        <v>888</v>
      </c>
      <c r="B212" s="2" t="s">
        <v>889</v>
      </c>
      <c r="C212" s="2" t="s">
        <v>586</v>
      </c>
      <c r="D212" s="14">
        <v>30</v>
      </c>
      <c r="E212" s="6"/>
      <c r="F212" s="6"/>
    </row>
    <row r="213" spans="1:6" x14ac:dyDescent="0.25">
      <c r="A213" s="2" t="s">
        <v>890</v>
      </c>
      <c r="B213" s="2" t="s">
        <v>891</v>
      </c>
      <c r="C213" s="2" t="s">
        <v>892</v>
      </c>
      <c r="D213" s="14">
        <v>2200</v>
      </c>
      <c r="E213" s="6"/>
      <c r="F213" s="6"/>
    </row>
    <row r="214" spans="1:6" x14ac:dyDescent="0.25">
      <c r="A214" s="2" t="s">
        <v>893</v>
      </c>
      <c r="B214" s="2" t="s">
        <v>894</v>
      </c>
      <c r="C214" s="2" t="s">
        <v>892</v>
      </c>
      <c r="D214" s="14">
        <v>2200</v>
      </c>
      <c r="E214" s="6"/>
      <c r="F214" s="6"/>
    </row>
    <row r="215" spans="1:6" x14ac:dyDescent="0.25">
      <c r="A215" s="2" t="s">
        <v>895</v>
      </c>
      <c r="B215" s="2" t="s">
        <v>896</v>
      </c>
      <c r="C215" s="2" t="s">
        <v>448</v>
      </c>
      <c r="D215" s="14">
        <v>500</v>
      </c>
      <c r="E215" s="6"/>
      <c r="F215" s="6"/>
    </row>
    <row r="216" spans="1:6" x14ac:dyDescent="0.25">
      <c r="A216" s="2" t="s">
        <v>897</v>
      </c>
      <c r="B216" s="2" t="s">
        <v>898</v>
      </c>
      <c r="C216" s="2" t="s">
        <v>667</v>
      </c>
      <c r="D216" s="14">
        <v>100</v>
      </c>
      <c r="E216" s="6"/>
      <c r="F216" s="6"/>
    </row>
    <row r="217" spans="1:6" x14ac:dyDescent="0.25">
      <c r="A217" s="2" t="s">
        <v>899</v>
      </c>
      <c r="B217" s="2" t="s">
        <v>900</v>
      </c>
      <c r="C217" s="2" t="s">
        <v>448</v>
      </c>
      <c r="D217" s="14">
        <v>1250</v>
      </c>
      <c r="E217" s="6"/>
      <c r="F217" s="6"/>
    </row>
    <row r="218" spans="1:6" x14ac:dyDescent="0.25">
      <c r="A218" s="2" t="s">
        <v>901</v>
      </c>
      <c r="B218" s="2" t="s">
        <v>902</v>
      </c>
      <c r="C218" s="2" t="s">
        <v>448</v>
      </c>
      <c r="D218" s="14">
        <v>425</v>
      </c>
      <c r="E218" s="6"/>
      <c r="F218" s="6"/>
    </row>
    <row r="219" spans="1:6" x14ac:dyDescent="0.25">
      <c r="A219" s="2" t="s">
        <v>903</v>
      </c>
      <c r="B219" s="2" t="s">
        <v>904</v>
      </c>
      <c r="C219" s="2" t="s">
        <v>448</v>
      </c>
      <c r="D219" s="14">
        <v>715</v>
      </c>
      <c r="E219" s="6"/>
      <c r="F219" s="6"/>
    </row>
    <row r="220" spans="1:6" x14ac:dyDescent="0.25">
      <c r="A220" s="2" t="s">
        <v>905</v>
      </c>
      <c r="B220" s="2" t="s">
        <v>906</v>
      </c>
      <c r="C220" s="2" t="s">
        <v>448</v>
      </c>
      <c r="D220" s="14">
        <v>385</v>
      </c>
      <c r="E220" s="6"/>
      <c r="F220" s="6"/>
    </row>
    <row r="221" spans="1:6" x14ac:dyDescent="0.25">
      <c r="A221" s="2" t="s">
        <v>907</v>
      </c>
      <c r="B221" s="2" t="s">
        <v>908</v>
      </c>
      <c r="C221" s="2" t="s">
        <v>448</v>
      </c>
      <c r="D221" s="14">
        <v>715</v>
      </c>
      <c r="E221" s="6"/>
      <c r="F221" s="6"/>
    </row>
    <row r="222" spans="1:6" x14ac:dyDescent="0.25">
      <c r="A222" s="2" t="s">
        <v>909</v>
      </c>
      <c r="B222" s="2" t="s">
        <v>910</v>
      </c>
      <c r="C222" s="2" t="s">
        <v>448</v>
      </c>
      <c r="D222" s="14">
        <v>375</v>
      </c>
      <c r="E222" s="6"/>
      <c r="F222" s="6"/>
    </row>
    <row r="223" spans="1:6" x14ac:dyDescent="0.25">
      <c r="A223" s="2" t="s">
        <v>911</v>
      </c>
      <c r="B223" s="2" t="s">
        <v>912</v>
      </c>
      <c r="C223" s="2" t="s">
        <v>448</v>
      </c>
      <c r="D223" s="14">
        <v>385</v>
      </c>
      <c r="E223" s="6"/>
      <c r="F223" s="6"/>
    </row>
    <row r="224" spans="1:6" x14ac:dyDescent="0.25">
      <c r="A224" s="2" t="s">
        <v>913</v>
      </c>
      <c r="B224" s="2" t="s">
        <v>914</v>
      </c>
      <c r="C224" s="2" t="s">
        <v>448</v>
      </c>
      <c r="D224" s="14">
        <v>415</v>
      </c>
      <c r="E224" s="6"/>
      <c r="F224" s="6"/>
    </row>
    <row r="225" spans="1:6" x14ac:dyDescent="0.25">
      <c r="A225" s="2" t="s">
        <v>915</v>
      </c>
      <c r="B225" s="2" t="s">
        <v>916</v>
      </c>
      <c r="C225" s="2" t="s">
        <v>448</v>
      </c>
      <c r="D225" s="14">
        <v>225</v>
      </c>
      <c r="E225" s="6"/>
      <c r="F225" s="6"/>
    </row>
    <row r="226" spans="1:6" x14ac:dyDescent="0.25">
      <c r="A226" s="2" t="s">
        <v>917</v>
      </c>
      <c r="B226" s="2" t="s">
        <v>918</v>
      </c>
      <c r="C226" s="2" t="s">
        <v>448</v>
      </c>
      <c r="D226" s="14">
        <v>650</v>
      </c>
      <c r="E226" s="6"/>
      <c r="F226" s="6"/>
    </row>
    <row r="227" spans="1:6" x14ac:dyDescent="0.25">
      <c r="A227" s="2" t="s">
        <v>919</v>
      </c>
      <c r="B227" s="2" t="s">
        <v>920</v>
      </c>
      <c r="C227" s="2" t="s">
        <v>448</v>
      </c>
      <c r="D227" s="14">
        <v>60</v>
      </c>
      <c r="E227" s="6"/>
      <c r="F227" s="6"/>
    </row>
    <row r="228" spans="1:6" x14ac:dyDescent="0.25">
      <c r="A228" s="2" t="s">
        <v>921</v>
      </c>
      <c r="B228" s="2" t="s">
        <v>922</v>
      </c>
      <c r="C228" s="2" t="s">
        <v>547</v>
      </c>
      <c r="D228" s="14">
        <v>60</v>
      </c>
      <c r="E228" s="6">
        <v>2</v>
      </c>
      <c r="F228" s="6"/>
    </row>
    <row r="229" spans="1:6" x14ac:dyDescent="0.25">
      <c r="A229" s="2" t="s">
        <v>923</v>
      </c>
      <c r="B229" s="2" t="s">
        <v>924</v>
      </c>
      <c r="C229" s="2" t="s">
        <v>721</v>
      </c>
      <c r="D229" s="14">
        <v>375</v>
      </c>
      <c r="E229" s="6">
        <v>20</v>
      </c>
      <c r="F229" s="6"/>
    </row>
    <row r="230" spans="1:6" x14ac:dyDescent="0.25">
      <c r="A230" s="2" t="s">
        <v>925</v>
      </c>
      <c r="B230" s="2" t="s">
        <v>926</v>
      </c>
      <c r="C230" s="2" t="s">
        <v>547</v>
      </c>
      <c r="D230" s="14">
        <v>525</v>
      </c>
      <c r="E230" s="6">
        <v>2</v>
      </c>
      <c r="F230" s="6"/>
    </row>
    <row r="231" spans="1:6" x14ac:dyDescent="0.25">
      <c r="A231" s="2" t="s">
        <v>927</v>
      </c>
      <c r="B231" s="2" t="s">
        <v>928</v>
      </c>
      <c r="C231" s="2" t="s">
        <v>519</v>
      </c>
      <c r="D231" s="14">
        <v>50</v>
      </c>
      <c r="E231" s="6"/>
      <c r="F231" s="6"/>
    </row>
    <row r="232" spans="1:6" x14ac:dyDescent="0.25">
      <c r="A232" s="2" t="s">
        <v>929</v>
      </c>
      <c r="B232" s="2" t="s">
        <v>930</v>
      </c>
      <c r="C232" s="2" t="s">
        <v>519</v>
      </c>
      <c r="D232" s="14">
        <v>145</v>
      </c>
      <c r="E232" s="6"/>
      <c r="F232" s="6"/>
    </row>
    <row r="233" spans="1:6" x14ac:dyDescent="0.25">
      <c r="A233" s="2" t="s">
        <v>931</v>
      </c>
      <c r="B233" s="2" t="s">
        <v>932</v>
      </c>
      <c r="C233" s="2" t="s">
        <v>519</v>
      </c>
      <c r="D233" s="14">
        <v>105</v>
      </c>
      <c r="E233" s="6"/>
      <c r="F233" s="6"/>
    </row>
    <row r="234" spans="1:6" x14ac:dyDescent="0.25">
      <c r="A234" s="2" t="s">
        <v>933</v>
      </c>
      <c r="B234" s="2" t="s">
        <v>934</v>
      </c>
      <c r="C234" s="2" t="s">
        <v>519</v>
      </c>
      <c r="D234" s="14">
        <v>120</v>
      </c>
      <c r="E234" s="6"/>
      <c r="F234" s="6"/>
    </row>
    <row r="235" spans="1:6" x14ac:dyDescent="0.25">
      <c r="A235" s="2" t="s">
        <v>935</v>
      </c>
      <c r="B235" s="2" t="s">
        <v>936</v>
      </c>
      <c r="C235" s="2" t="s">
        <v>586</v>
      </c>
      <c r="D235" s="14">
        <v>30</v>
      </c>
      <c r="E235" s="6"/>
      <c r="F235" s="6"/>
    </row>
    <row r="236" spans="1:6" x14ac:dyDescent="0.25">
      <c r="A236" s="2" t="s">
        <v>223</v>
      </c>
      <c r="B236" s="2" t="s">
        <v>224</v>
      </c>
      <c r="C236" s="2" t="s">
        <v>667</v>
      </c>
      <c r="D236" s="14">
        <v>25</v>
      </c>
      <c r="E236" s="6"/>
      <c r="F236" s="6"/>
    </row>
    <row r="237" spans="1:6" x14ac:dyDescent="0.25">
      <c r="A237" s="2" t="s">
        <v>226</v>
      </c>
      <c r="B237" s="2" t="s">
        <v>227</v>
      </c>
      <c r="C237" s="2" t="s">
        <v>667</v>
      </c>
      <c r="D237" s="14">
        <v>40</v>
      </c>
      <c r="E237" s="6"/>
      <c r="F237" s="6"/>
    </row>
    <row r="238" spans="1:6" x14ac:dyDescent="0.25">
      <c r="A238" s="2" t="s">
        <v>937</v>
      </c>
      <c r="B238" s="2" t="s">
        <v>938</v>
      </c>
      <c r="C238" s="2" t="s">
        <v>461</v>
      </c>
      <c r="D238" s="14">
        <v>100</v>
      </c>
      <c r="E238" s="6"/>
      <c r="F238" s="6"/>
    </row>
    <row r="239" spans="1:6" x14ac:dyDescent="0.25">
      <c r="A239" s="2" t="s">
        <v>939</v>
      </c>
      <c r="B239" s="2" t="s">
        <v>940</v>
      </c>
      <c r="C239" s="2" t="s">
        <v>464</v>
      </c>
      <c r="D239" s="14">
        <v>60000</v>
      </c>
      <c r="E239" s="6"/>
      <c r="F239" s="6"/>
    </row>
    <row r="240" spans="1:6" x14ac:dyDescent="0.25">
      <c r="A240" s="2" t="s">
        <v>941</v>
      </c>
      <c r="B240" s="2" t="s">
        <v>942</v>
      </c>
      <c r="C240" s="2" t="s">
        <v>448</v>
      </c>
      <c r="D240" s="14">
        <v>1500</v>
      </c>
      <c r="E240" s="6"/>
      <c r="F240" s="6"/>
    </row>
    <row r="241" spans="1:6" x14ac:dyDescent="0.25">
      <c r="A241" s="2" t="s">
        <v>943</v>
      </c>
      <c r="B241" s="2" t="s">
        <v>944</v>
      </c>
      <c r="C241" s="2" t="s">
        <v>448</v>
      </c>
      <c r="D241" s="14">
        <v>28</v>
      </c>
      <c r="E241" s="6"/>
      <c r="F241" s="6">
        <v>6</v>
      </c>
    </row>
    <row r="242" spans="1:6" x14ac:dyDescent="0.25">
      <c r="A242" s="2" t="s">
        <v>945</v>
      </c>
      <c r="B242" s="2" t="s">
        <v>946</v>
      </c>
      <c r="C242" s="2" t="s">
        <v>469</v>
      </c>
      <c r="D242" s="14">
        <v>1200</v>
      </c>
      <c r="E242" s="6">
        <v>40</v>
      </c>
      <c r="F242" s="6"/>
    </row>
    <row r="243" spans="1:6" x14ac:dyDescent="0.25">
      <c r="A243" s="2" t="s">
        <v>947</v>
      </c>
      <c r="B243" s="2" t="s">
        <v>948</v>
      </c>
      <c r="C243" s="2" t="s">
        <v>461</v>
      </c>
      <c r="D243" s="14">
        <v>600</v>
      </c>
      <c r="E243" s="6"/>
      <c r="F243" s="6"/>
    </row>
    <row r="244" spans="1:6" x14ac:dyDescent="0.25">
      <c r="A244" s="2" t="s">
        <v>949</v>
      </c>
      <c r="B244" s="2" t="s">
        <v>950</v>
      </c>
      <c r="C244" s="2" t="s">
        <v>461</v>
      </c>
      <c r="D244" s="14">
        <v>270</v>
      </c>
      <c r="E244" s="6"/>
      <c r="F244" s="6"/>
    </row>
    <row r="245" spans="1:6" x14ac:dyDescent="0.25">
      <c r="A245" s="2" t="s">
        <v>951</v>
      </c>
      <c r="B245" s="2" t="s">
        <v>952</v>
      </c>
      <c r="C245" s="2" t="s">
        <v>461</v>
      </c>
      <c r="D245" s="14">
        <v>210</v>
      </c>
      <c r="E245" s="6"/>
      <c r="F245" s="6"/>
    </row>
    <row r="246" spans="1:6" x14ac:dyDescent="0.25">
      <c r="A246" s="2" t="s">
        <v>953</v>
      </c>
      <c r="B246" s="2" t="s">
        <v>954</v>
      </c>
      <c r="C246" s="2" t="s">
        <v>461</v>
      </c>
      <c r="D246" s="14">
        <v>240</v>
      </c>
      <c r="E246" s="6"/>
      <c r="F246" s="6"/>
    </row>
    <row r="247" spans="1:6" x14ac:dyDescent="0.25">
      <c r="A247" s="2" t="s">
        <v>955</v>
      </c>
      <c r="B247" s="2" t="s">
        <v>956</v>
      </c>
      <c r="C247" s="2" t="s">
        <v>519</v>
      </c>
      <c r="D247" s="14">
        <v>240</v>
      </c>
      <c r="E247" s="6"/>
      <c r="F247" s="6"/>
    </row>
    <row r="248" spans="1:6" x14ac:dyDescent="0.25">
      <c r="A248" s="2" t="s">
        <v>957</v>
      </c>
      <c r="B248" s="2" t="s">
        <v>958</v>
      </c>
      <c r="C248" s="2" t="s">
        <v>519</v>
      </c>
      <c r="D248" s="14">
        <v>85</v>
      </c>
      <c r="E248" s="6"/>
      <c r="F248" s="6"/>
    </row>
    <row r="249" spans="1:6" x14ac:dyDescent="0.25">
      <c r="A249" s="2" t="s">
        <v>959</v>
      </c>
      <c r="B249" s="2" t="s">
        <v>960</v>
      </c>
      <c r="C249" s="2" t="s">
        <v>519</v>
      </c>
      <c r="D249" s="14">
        <v>290</v>
      </c>
      <c r="E249" s="6"/>
      <c r="F249" s="6"/>
    </row>
    <row r="250" spans="1:6" x14ac:dyDescent="0.25">
      <c r="A250" s="2" t="s">
        <v>961</v>
      </c>
      <c r="B250" s="2" t="s">
        <v>962</v>
      </c>
      <c r="C250" s="2" t="s">
        <v>519</v>
      </c>
      <c r="D250" s="14">
        <v>180</v>
      </c>
      <c r="E250" s="6"/>
      <c r="F250" s="6"/>
    </row>
    <row r="251" spans="1:6" x14ac:dyDescent="0.25">
      <c r="A251" s="2" t="s">
        <v>963</v>
      </c>
      <c r="B251" s="2" t="s">
        <v>964</v>
      </c>
      <c r="C251" s="2" t="s">
        <v>760</v>
      </c>
      <c r="D251" s="14">
        <v>900</v>
      </c>
      <c r="E251" s="6"/>
      <c r="F251" s="6"/>
    </row>
    <row r="252" spans="1:6" x14ac:dyDescent="0.25">
      <c r="A252" s="2" t="s">
        <v>965</v>
      </c>
      <c r="B252" s="2" t="s">
        <v>966</v>
      </c>
      <c r="C252" s="2" t="s">
        <v>667</v>
      </c>
      <c r="D252" s="14">
        <v>55</v>
      </c>
      <c r="E252" s="6"/>
      <c r="F252" s="6"/>
    </row>
    <row r="253" spans="1:6" x14ac:dyDescent="0.25">
      <c r="A253" s="2" t="s">
        <v>236</v>
      </c>
      <c r="B253" s="2" t="s">
        <v>237</v>
      </c>
      <c r="C253" s="2" t="s">
        <v>667</v>
      </c>
      <c r="D253" s="14">
        <v>18</v>
      </c>
      <c r="E253" s="6"/>
      <c r="F253" s="6"/>
    </row>
    <row r="254" spans="1:6" x14ac:dyDescent="0.25">
      <c r="A254" s="2" t="s">
        <v>239</v>
      </c>
      <c r="B254" s="2" t="s">
        <v>240</v>
      </c>
      <c r="C254" s="2" t="s">
        <v>667</v>
      </c>
      <c r="D254" s="14">
        <v>32</v>
      </c>
      <c r="E254" s="6"/>
      <c r="F254" s="6"/>
    </row>
    <row r="255" spans="1:6" x14ac:dyDescent="0.25">
      <c r="A255" s="2" t="s">
        <v>967</v>
      </c>
      <c r="B255" s="2" t="s">
        <v>968</v>
      </c>
      <c r="C255" s="2" t="s">
        <v>448</v>
      </c>
      <c r="D255" s="14">
        <v>1000</v>
      </c>
      <c r="E255" s="6"/>
      <c r="F255" s="6"/>
    </row>
    <row r="256" spans="1:6" x14ac:dyDescent="0.25">
      <c r="A256" s="2" t="s">
        <v>969</v>
      </c>
      <c r="B256" s="2" t="s">
        <v>970</v>
      </c>
      <c r="C256" s="2" t="s">
        <v>667</v>
      </c>
      <c r="D256" s="14">
        <v>64</v>
      </c>
      <c r="E256" s="6"/>
      <c r="F256" s="6"/>
    </row>
    <row r="257" spans="1:6" x14ac:dyDescent="0.25">
      <c r="A257" s="2" t="s">
        <v>971</v>
      </c>
      <c r="B257" s="2" t="s">
        <v>972</v>
      </c>
      <c r="C257" s="2" t="s">
        <v>667</v>
      </c>
      <c r="D257" s="14">
        <v>32</v>
      </c>
      <c r="E257" s="6"/>
      <c r="F257" s="6"/>
    </row>
    <row r="258" spans="1:6" x14ac:dyDescent="0.25">
      <c r="A258" s="2" t="s">
        <v>973</v>
      </c>
      <c r="B258" s="2" t="s">
        <v>974</v>
      </c>
      <c r="C258" s="2" t="s">
        <v>667</v>
      </c>
      <c r="D258" s="14">
        <v>16</v>
      </c>
      <c r="E258" s="6"/>
      <c r="F258" s="6"/>
    </row>
    <row r="259" spans="1:6" x14ac:dyDescent="0.25">
      <c r="A259" s="2" t="s">
        <v>975</v>
      </c>
      <c r="B259" s="2" t="s">
        <v>976</v>
      </c>
      <c r="C259" s="2" t="s">
        <v>448</v>
      </c>
      <c r="D259" s="14">
        <v>165</v>
      </c>
      <c r="E259" s="6"/>
      <c r="F259" s="6"/>
    </row>
    <row r="260" spans="1:6" x14ac:dyDescent="0.25">
      <c r="A260" s="2" t="s">
        <v>977</v>
      </c>
      <c r="B260" s="2" t="s">
        <v>978</v>
      </c>
      <c r="C260" s="2" t="s">
        <v>569</v>
      </c>
      <c r="D260" s="14">
        <v>400</v>
      </c>
      <c r="E260" s="6"/>
      <c r="F260" s="6"/>
    </row>
    <row r="261" spans="1:6" x14ac:dyDescent="0.25">
      <c r="A261" s="2" t="s">
        <v>979</v>
      </c>
      <c r="B261" s="2" t="s">
        <v>980</v>
      </c>
      <c r="C261" s="2" t="s">
        <v>569</v>
      </c>
      <c r="D261" s="14">
        <v>1200</v>
      </c>
      <c r="E261" s="6"/>
      <c r="F261" s="6"/>
    </row>
    <row r="262" spans="1:6" x14ac:dyDescent="0.25">
      <c r="A262" s="2" t="s">
        <v>981</v>
      </c>
      <c r="B262" s="2" t="s">
        <v>982</v>
      </c>
      <c r="C262" s="2" t="s">
        <v>448</v>
      </c>
      <c r="D262" s="14">
        <v>440</v>
      </c>
      <c r="E262" s="6"/>
      <c r="F262" s="6"/>
    </row>
    <row r="263" spans="1:6" x14ac:dyDescent="0.25">
      <c r="A263" s="2" t="s">
        <v>983</v>
      </c>
      <c r="B263" s="2" t="s">
        <v>984</v>
      </c>
      <c r="C263" s="2" t="s">
        <v>448</v>
      </c>
      <c r="D263" s="14">
        <v>460</v>
      </c>
      <c r="E263" s="6"/>
      <c r="F263" s="6"/>
    </row>
    <row r="264" spans="1:6" x14ac:dyDescent="0.25">
      <c r="A264" s="2" t="s">
        <v>985</v>
      </c>
      <c r="B264" s="2" t="s">
        <v>986</v>
      </c>
      <c r="C264" s="2" t="s">
        <v>652</v>
      </c>
      <c r="D264" s="14">
        <v>2350</v>
      </c>
      <c r="E264" s="6">
        <v>10</v>
      </c>
      <c r="F264" s="6"/>
    </row>
    <row r="265" spans="1:6" x14ac:dyDescent="0.25">
      <c r="A265" s="2" t="s">
        <v>987</v>
      </c>
      <c r="B265" s="2" t="s">
        <v>988</v>
      </c>
      <c r="C265" s="2" t="s">
        <v>547</v>
      </c>
      <c r="D265" s="14">
        <v>150</v>
      </c>
      <c r="E265" s="6">
        <v>2</v>
      </c>
      <c r="F265" s="6"/>
    </row>
    <row r="266" spans="1:6" x14ac:dyDescent="0.25">
      <c r="A266" s="2" t="s">
        <v>989</v>
      </c>
      <c r="B266" s="2" t="s">
        <v>990</v>
      </c>
      <c r="C266" s="2" t="s">
        <v>721</v>
      </c>
      <c r="D266" s="14">
        <v>1250</v>
      </c>
      <c r="E266" s="6">
        <v>5</v>
      </c>
      <c r="F266" s="6"/>
    </row>
    <row r="267" spans="1:6" x14ac:dyDescent="0.25">
      <c r="A267" s="2" t="s">
        <v>991</v>
      </c>
      <c r="B267" s="2" t="s">
        <v>992</v>
      </c>
      <c r="C267" s="2" t="s">
        <v>721</v>
      </c>
      <c r="D267" s="14">
        <v>1450</v>
      </c>
      <c r="E267" s="6">
        <v>5</v>
      </c>
      <c r="F267" s="6"/>
    </row>
    <row r="268" spans="1:6" x14ac:dyDescent="0.25">
      <c r="A268" s="2" t="s">
        <v>993</v>
      </c>
      <c r="B268" s="2" t="s">
        <v>994</v>
      </c>
      <c r="C268" s="2" t="s">
        <v>721</v>
      </c>
      <c r="D268" s="14">
        <v>2400</v>
      </c>
      <c r="E268" s="6">
        <v>10</v>
      </c>
      <c r="F268" s="6"/>
    </row>
    <row r="269" spans="1:6" x14ac:dyDescent="0.25">
      <c r="A269" s="2" t="s">
        <v>995</v>
      </c>
      <c r="B269" s="2" t="s">
        <v>996</v>
      </c>
      <c r="C269" s="2" t="s">
        <v>448</v>
      </c>
      <c r="D269" s="14">
        <v>250</v>
      </c>
      <c r="E269" s="6"/>
      <c r="F269" s="6"/>
    </row>
    <row r="270" spans="1:6" x14ac:dyDescent="0.25">
      <c r="A270" s="2" t="s">
        <v>997</v>
      </c>
      <c r="B270" s="2" t="s">
        <v>998</v>
      </c>
      <c r="C270" s="2" t="s">
        <v>469</v>
      </c>
      <c r="D270" s="14">
        <v>600</v>
      </c>
      <c r="E270" s="6">
        <v>20</v>
      </c>
      <c r="F270" s="6"/>
    </row>
    <row r="271" spans="1:6" x14ac:dyDescent="0.25">
      <c r="A271" s="2" t="s">
        <v>999</v>
      </c>
      <c r="B271" s="2" t="s">
        <v>1000</v>
      </c>
      <c r="C271" s="2" t="s">
        <v>448</v>
      </c>
      <c r="D271" s="14">
        <v>50</v>
      </c>
      <c r="E271" s="6"/>
      <c r="F271" s="6"/>
    </row>
    <row r="272" spans="1:6" x14ac:dyDescent="0.25">
      <c r="A272" s="2" t="s">
        <v>1001</v>
      </c>
      <c r="B272" s="2" t="s">
        <v>1002</v>
      </c>
      <c r="C272" s="2" t="s">
        <v>667</v>
      </c>
      <c r="D272" s="14">
        <v>75</v>
      </c>
      <c r="E272" s="6"/>
      <c r="F272" s="6"/>
    </row>
    <row r="273" spans="1:6" x14ac:dyDescent="0.25">
      <c r="A273" s="2" t="s">
        <v>1003</v>
      </c>
      <c r="B273" s="2" t="s">
        <v>1004</v>
      </c>
      <c r="C273" s="2" t="s">
        <v>448</v>
      </c>
      <c r="D273" s="14">
        <v>195</v>
      </c>
      <c r="E273" s="6"/>
      <c r="F273" s="6"/>
    </row>
    <row r="274" spans="1:6" x14ac:dyDescent="0.25">
      <c r="A274" s="2" t="s">
        <v>1005</v>
      </c>
      <c r="B274" s="2" t="s">
        <v>1006</v>
      </c>
      <c r="C274" s="2" t="s">
        <v>448</v>
      </c>
      <c r="D274" s="14">
        <v>28</v>
      </c>
      <c r="E274" s="6"/>
      <c r="F274" s="6">
        <v>1</v>
      </c>
    </row>
    <row r="275" spans="1:6" x14ac:dyDescent="0.25">
      <c r="A275" s="2" t="s">
        <v>1007</v>
      </c>
      <c r="B275" s="2" t="s">
        <v>1008</v>
      </c>
      <c r="C275" s="2" t="s">
        <v>519</v>
      </c>
      <c r="D275" s="14">
        <v>10500</v>
      </c>
      <c r="E275" s="6"/>
      <c r="F275" s="6"/>
    </row>
    <row r="276" spans="1:6" x14ac:dyDescent="0.25">
      <c r="A276" s="2" t="s">
        <v>1009</v>
      </c>
      <c r="B276" s="2" t="s">
        <v>1010</v>
      </c>
      <c r="C276" s="2" t="s">
        <v>760</v>
      </c>
      <c r="D276" s="14">
        <v>400</v>
      </c>
      <c r="E276" s="6"/>
      <c r="F276" s="6"/>
    </row>
    <row r="277" spans="1:6" x14ac:dyDescent="0.25">
      <c r="A277" s="2" t="s">
        <v>1011</v>
      </c>
      <c r="B277" s="2" t="s">
        <v>1012</v>
      </c>
      <c r="C277" s="2" t="s">
        <v>469</v>
      </c>
      <c r="D277" s="14">
        <v>2200</v>
      </c>
      <c r="E277" s="6">
        <v>30</v>
      </c>
      <c r="F277" s="6"/>
    </row>
    <row r="278" spans="1:6" x14ac:dyDescent="0.25">
      <c r="A278" s="2" t="s">
        <v>1013</v>
      </c>
      <c r="B278" s="2" t="s">
        <v>1014</v>
      </c>
      <c r="C278" s="2" t="s">
        <v>464</v>
      </c>
      <c r="D278" s="14">
        <v>35000</v>
      </c>
      <c r="E278" s="6"/>
      <c r="F278" s="6"/>
    </row>
    <row r="279" spans="1:6" x14ac:dyDescent="0.25">
      <c r="A279" s="2" t="s">
        <v>1015</v>
      </c>
      <c r="B279" s="2" t="s">
        <v>1016</v>
      </c>
      <c r="C279" s="2" t="s">
        <v>469</v>
      </c>
      <c r="D279" s="14">
        <v>1800</v>
      </c>
      <c r="E279" s="6">
        <v>30</v>
      </c>
      <c r="F279" s="6"/>
    </row>
    <row r="280" spans="1:6" x14ac:dyDescent="0.25">
      <c r="A280" s="2" t="s">
        <v>1017</v>
      </c>
      <c r="B280" s="2" t="s">
        <v>1018</v>
      </c>
      <c r="C280" s="2" t="s">
        <v>464</v>
      </c>
      <c r="D280" s="14">
        <v>45000</v>
      </c>
      <c r="E280" s="6"/>
      <c r="F280" s="6"/>
    </row>
    <row r="281" spans="1:6" x14ac:dyDescent="0.25">
      <c r="A281" s="2" t="s">
        <v>1019</v>
      </c>
      <c r="B281" s="2" t="s">
        <v>1020</v>
      </c>
      <c r="C281" s="2" t="s">
        <v>469</v>
      </c>
      <c r="D281" s="14">
        <v>4700</v>
      </c>
      <c r="E281" s="6">
        <v>30</v>
      </c>
      <c r="F281" s="6"/>
    </row>
    <row r="282" spans="1:6" x14ac:dyDescent="0.25">
      <c r="A282" s="2" t="s">
        <v>1021</v>
      </c>
      <c r="B282" s="2" t="s">
        <v>1022</v>
      </c>
      <c r="C282" s="2" t="s">
        <v>469</v>
      </c>
      <c r="D282" s="14">
        <v>4800</v>
      </c>
      <c r="E282" s="6">
        <v>30</v>
      </c>
      <c r="F282" s="6"/>
    </row>
    <row r="283" spans="1:6" x14ac:dyDescent="0.25">
      <c r="A283" s="2" t="s">
        <v>1023</v>
      </c>
      <c r="B283" s="2" t="s">
        <v>1024</v>
      </c>
      <c r="C283" s="2" t="s">
        <v>469</v>
      </c>
      <c r="D283" s="14">
        <v>2800</v>
      </c>
      <c r="E283" s="6">
        <v>15</v>
      </c>
      <c r="F283" s="6"/>
    </row>
    <row r="284" spans="1:6" x14ac:dyDescent="0.25">
      <c r="A284" s="2" t="s">
        <v>1025</v>
      </c>
      <c r="B284" s="2" t="s">
        <v>1026</v>
      </c>
      <c r="C284" s="2" t="s">
        <v>469</v>
      </c>
      <c r="D284" s="14">
        <v>3300</v>
      </c>
      <c r="E284" s="6">
        <v>20</v>
      </c>
      <c r="F284" s="6"/>
    </row>
    <row r="285" spans="1:6" x14ac:dyDescent="0.25">
      <c r="A285" s="2" t="s">
        <v>1027</v>
      </c>
      <c r="B285" s="2" t="s">
        <v>1028</v>
      </c>
      <c r="C285" s="2" t="s">
        <v>469</v>
      </c>
      <c r="D285" s="14">
        <v>4400</v>
      </c>
      <c r="E285" s="6">
        <v>30</v>
      </c>
      <c r="F285" s="6"/>
    </row>
    <row r="286" spans="1:6" x14ac:dyDescent="0.25">
      <c r="A286" s="2" t="s">
        <v>1029</v>
      </c>
      <c r="B286" s="2" t="s">
        <v>1030</v>
      </c>
      <c r="C286" s="2" t="s">
        <v>469</v>
      </c>
      <c r="D286" s="14">
        <v>1400</v>
      </c>
      <c r="E286" s="6">
        <v>20</v>
      </c>
      <c r="F286" s="6"/>
    </row>
    <row r="287" spans="1:6" x14ac:dyDescent="0.25">
      <c r="A287" s="2" t="s">
        <v>1031</v>
      </c>
      <c r="B287" s="2" t="s">
        <v>1032</v>
      </c>
      <c r="C287" s="2" t="s">
        <v>464</v>
      </c>
      <c r="D287" s="14">
        <v>95000</v>
      </c>
      <c r="E287" s="6"/>
      <c r="F287" s="6"/>
    </row>
    <row r="288" spans="1:6" x14ac:dyDescent="0.25">
      <c r="A288" s="2" t="s">
        <v>1033</v>
      </c>
      <c r="B288" s="2" t="s">
        <v>1034</v>
      </c>
      <c r="C288" s="2" t="s">
        <v>448</v>
      </c>
      <c r="D288" s="14">
        <v>120</v>
      </c>
      <c r="E288" s="6"/>
      <c r="F288" s="6"/>
    </row>
    <row r="289" spans="1:6" x14ac:dyDescent="0.25">
      <c r="A289" s="2" t="s">
        <v>1035</v>
      </c>
      <c r="B289" s="2" t="s">
        <v>1036</v>
      </c>
      <c r="C289" s="2" t="s">
        <v>461</v>
      </c>
      <c r="D289" s="14">
        <v>8500</v>
      </c>
      <c r="E289" s="6"/>
      <c r="F289" s="6"/>
    </row>
    <row r="290" spans="1:6" x14ac:dyDescent="0.25">
      <c r="A290" s="2" t="s">
        <v>1037</v>
      </c>
      <c r="B290" s="2" t="s">
        <v>1038</v>
      </c>
      <c r="C290" s="2" t="s">
        <v>461</v>
      </c>
      <c r="D290" s="14">
        <v>2000</v>
      </c>
      <c r="E290" s="6"/>
      <c r="F290" s="6"/>
    </row>
    <row r="291" spans="1:6" x14ac:dyDescent="0.25">
      <c r="A291" s="2" t="s">
        <v>1039</v>
      </c>
      <c r="B291" s="2" t="s">
        <v>1040</v>
      </c>
      <c r="C291" s="2" t="s">
        <v>712</v>
      </c>
      <c r="D291" s="14">
        <v>400</v>
      </c>
      <c r="E291" s="6"/>
      <c r="F291" s="6"/>
    </row>
    <row r="292" spans="1:6" x14ac:dyDescent="0.25">
      <c r="A292" s="2" t="s">
        <v>1041</v>
      </c>
      <c r="B292" s="2" t="s">
        <v>1042</v>
      </c>
      <c r="C292" s="2" t="s">
        <v>712</v>
      </c>
      <c r="D292" s="14">
        <v>300</v>
      </c>
      <c r="E292" s="6"/>
      <c r="F292" s="6"/>
    </row>
    <row r="293" spans="1:6" x14ac:dyDescent="0.25">
      <c r="A293" s="2" t="s">
        <v>1043</v>
      </c>
      <c r="B293" s="2" t="s">
        <v>1044</v>
      </c>
      <c r="C293" s="2" t="s">
        <v>712</v>
      </c>
      <c r="D293" s="14">
        <v>80</v>
      </c>
      <c r="E293" s="6"/>
      <c r="F293" s="6"/>
    </row>
    <row r="294" spans="1:6" x14ac:dyDescent="0.25">
      <c r="A294" s="2" t="s">
        <v>1045</v>
      </c>
      <c r="B294" s="2" t="s">
        <v>1046</v>
      </c>
      <c r="C294" s="2" t="s">
        <v>448</v>
      </c>
      <c r="D294" s="14">
        <v>32</v>
      </c>
      <c r="E294" s="6"/>
      <c r="F294" s="6">
        <v>1</v>
      </c>
    </row>
    <row r="295" spans="1:6" x14ac:dyDescent="0.25">
      <c r="A295" s="2" t="s">
        <v>1047</v>
      </c>
      <c r="B295" s="2" t="s">
        <v>1048</v>
      </c>
      <c r="C295" s="2" t="s">
        <v>469</v>
      </c>
      <c r="D295" s="14">
        <v>8900</v>
      </c>
      <c r="E295" s="6">
        <v>15</v>
      </c>
      <c r="F295" s="6"/>
    </row>
    <row r="296" spans="1:6" x14ac:dyDescent="0.25">
      <c r="A296" s="2" t="s">
        <v>1049</v>
      </c>
      <c r="B296" s="2" t="s">
        <v>1050</v>
      </c>
      <c r="C296" s="2" t="s">
        <v>1051</v>
      </c>
      <c r="D296" s="14">
        <v>55</v>
      </c>
      <c r="E296" s="6"/>
      <c r="F296" s="6"/>
    </row>
    <row r="297" spans="1:6" x14ac:dyDescent="0.25">
      <c r="A297" s="2" t="s">
        <v>1052</v>
      </c>
      <c r="B297" s="2" t="s">
        <v>1053</v>
      </c>
      <c r="C297" s="2" t="s">
        <v>547</v>
      </c>
      <c r="D297" s="14">
        <v>20</v>
      </c>
      <c r="E297" s="6">
        <v>2</v>
      </c>
      <c r="F297" s="6"/>
    </row>
    <row r="298" spans="1:6" x14ac:dyDescent="0.25">
      <c r="A298" s="2" t="s">
        <v>1054</v>
      </c>
      <c r="B298" s="2" t="s">
        <v>1055</v>
      </c>
      <c r="C298" s="2" t="s">
        <v>547</v>
      </c>
      <c r="D298" s="14">
        <v>80</v>
      </c>
      <c r="E298" s="6">
        <v>2</v>
      </c>
      <c r="F298" s="6"/>
    </row>
    <row r="299" spans="1:6" x14ac:dyDescent="0.25">
      <c r="A299" s="2" t="s">
        <v>1056</v>
      </c>
      <c r="B299" s="2" t="s">
        <v>1057</v>
      </c>
      <c r="C299" s="2" t="s">
        <v>547</v>
      </c>
      <c r="D299" s="14">
        <v>120</v>
      </c>
      <c r="E299" s="6">
        <v>2</v>
      </c>
      <c r="F299" s="6"/>
    </row>
    <row r="300" spans="1:6" x14ac:dyDescent="0.25">
      <c r="A300" s="2" t="s">
        <v>1058</v>
      </c>
      <c r="B300" s="2" t="s">
        <v>1059</v>
      </c>
      <c r="C300" s="2" t="s">
        <v>547</v>
      </c>
      <c r="D300" s="14">
        <v>25</v>
      </c>
      <c r="E300" s="6">
        <v>2</v>
      </c>
      <c r="F300" s="6"/>
    </row>
    <row r="301" spans="1:6" x14ac:dyDescent="0.25">
      <c r="A301" s="2" t="s">
        <v>1060</v>
      </c>
      <c r="B301" s="2" t="s">
        <v>1061</v>
      </c>
      <c r="C301" s="2" t="s">
        <v>547</v>
      </c>
      <c r="D301" s="14">
        <v>200</v>
      </c>
      <c r="E301" s="6">
        <v>2</v>
      </c>
      <c r="F301" s="6"/>
    </row>
    <row r="302" spans="1:6" x14ac:dyDescent="0.25">
      <c r="A302" s="2" t="s">
        <v>1062</v>
      </c>
      <c r="B302" s="2" t="s">
        <v>1063</v>
      </c>
      <c r="C302" s="2" t="s">
        <v>547</v>
      </c>
      <c r="D302" s="14">
        <v>50</v>
      </c>
      <c r="E302" s="6">
        <v>2</v>
      </c>
      <c r="F302" s="6"/>
    </row>
    <row r="303" spans="1:6" x14ac:dyDescent="0.25">
      <c r="A303" s="2" t="s">
        <v>1064</v>
      </c>
      <c r="B303" s="2" t="s">
        <v>1065</v>
      </c>
      <c r="C303" s="2" t="s">
        <v>464</v>
      </c>
      <c r="D303" s="14">
        <v>115000</v>
      </c>
      <c r="E303" s="6"/>
      <c r="F303" s="6"/>
    </row>
    <row r="304" spans="1:6" x14ac:dyDescent="0.25">
      <c r="A304" s="2" t="s">
        <v>1066</v>
      </c>
      <c r="B304" s="2" t="s">
        <v>1067</v>
      </c>
      <c r="C304" s="2" t="s">
        <v>476</v>
      </c>
      <c r="D304" s="14">
        <v>1400</v>
      </c>
      <c r="E304" s="6">
        <v>1</v>
      </c>
      <c r="F304" s="6"/>
    </row>
    <row r="305" spans="1:6" x14ac:dyDescent="0.25">
      <c r="A305" s="2" t="s">
        <v>1068</v>
      </c>
      <c r="B305" s="2" t="s">
        <v>1069</v>
      </c>
      <c r="C305" s="2" t="s">
        <v>464</v>
      </c>
      <c r="D305" s="14">
        <v>145000</v>
      </c>
      <c r="E305" s="6"/>
      <c r="F305" s="6"/>
    </row>
    <row r="306" spans="1:6" x14ac:dyDescent="0.25">
      <c r="A306" s="2" t="s">
        <v>1070</v>
      </c>
      <c r="B306" s="2" t="s">
        <v>1071</v>
      </c>
      <c r="C306" s="2" t="s">
        <v>448</v>
      </c>
      <c r="D306" s="14">
        <v>400</v>
      </c>
      <c r="E306" s="6"/>
      <c r="F306" s="6"/>
    </row>
    <row r="307" spans="1:6" x14ac:dyDescent="0.25">
      <c r="A307" s="2" t="s">
        <v>1072</v>
      </c>
      <c r="B307" s="2" t="s">
        <v>1073</v>
      </c>
      <c r="C307" s="2" t="s">
        <v>721</v>
      </c>
      <c r="D307" s="14">
        <v>1900</v>
      </c>
      <c r="E307" s="6">
        <v>100</v>
      </c>
      <c r="F307" s="6"/>
    </row>
    <row r="308" spans="1:6" x14ac:dyDescent="0.25">
      <c r="A308" s="2" t="s">
        <v>1074</v>
      </c>
      <c r="B308" s="2" t="s">
        <v>1075</v>
      </c>
      <c r="C308" s="2" t="s">
        <v>448</v>
      </c>
      <c r="D308" s="14">
        <v>35</v>
      </c>
      <c r="E308" s="6"/>
      <c r="F308" s="6"/>
    </row>
    <row r="309" spans="1:6" x14ac:dyDescent="0.25">
      <c r="A309" s="2" t="s">
        <v>1076</v>
      </c>
      <c r="B309" s="2" t="s">
        <v>1077</v>
      </c>
      <c r="C309" s="2" t="s">
        <v>547</v>
      </c>
      <c r="D309" s="14">
        <v>2100</v>
      </c>
      <c r="E309" s="6">
        <v>2</v>
      </c>
      <c r="F309" s="6"/>
    </row>
    <row r="310" spans="1:6" x14ac:dyDescent="0.25">
      <c r="A310" s="2" t="s">
        <v>1078</v>
      </c>
      <c r="B310" s="2" t="s">
        <v>1079</v>
      </c>
      <c r="C310" s="2" t="s">
        <v>448</v>
      </c>
      <c r="D310" s="14">
        <v>90</v>
      </c>
      <c r="E310" s="6"/>
      <c r="F310" s="6"/>
    </row>
    <row r="311" spans="1:6" x14ac:dyDescent="0.25">
      <c r="A311" s="2" t="s">
        <v>1080</v>
      </c>
      <c r="B311" s="2" t="s">
        <v>1081</v>
      </c>
      <c r="C311" s="2" t="s">
        <v>448</v>
      </c>
      <c r="D311" s="14">
        <v>90</v>
      </c>
      <c r="E311" s="6"/>
      <c r="F311" s="6"/>
    </row>
    <row r="312" spans="1:6" x14ac:dyDescent="0.25">
      <c r="A312" s="2" t="s">
        <v>1082</v>
      </c>
      <c r="B312" s="2" t="s">
        <v>1083</v>
      </c>
      <c r="C312" s="2" t="s">
        <v>448</v>
      </c>
      <c r="D312" s="14">
        <v>90</v>
      </c>
      <c r="E312" s="6"/>
      <c r="F312" s="6"/>
    </row>
    <row r="313" spans="1:6" x14ac:dyDescent="0.25">
      <c r="A313" s="2" t="s">
        <v>1084</v>
      </c>
      <c r="B313" s="2" t="s">
        <v>1085</v>
      </c>
      <c r="C313" s="2" t="s">
        <v>667</v>
      </c>
      <c r="D313" s="14">
        <v>250</v>
      </c>
      <c r="E313" s="6"/>
      <c r="F313" s="6"/>
    </row>
    <row r="314" spans="1:6" x14ac:dyDescent="0.25">
      <c r="A314" s="2" t="s">
        <v>1086</v>
      </c>
      <c r="B314" s="2" t="s">
        <v>1087</v>
      </c>
      <c r="C314" s="2" t="s">
        <v>569</v>
      </c>
      <c r="D314" s="14">
        <v>3200</v>
      </c>
      <c r="E314" s="6"/>
      <c r="F314" s="6">
        <v>10</v>
      </c>
    </row>
    <row r="315" spans="1:6" x14ac:dyDescent="0.25">
      <c r="A315" s="2" t="s">
        <v>1088</v>
      </c>
      <c r="B315" s="2" t="s">
        <v>1089</v>
      </c>
      <c r="C315" s="2" t="s">
        <v>519</v>
      </c>
      <c r="D315" s="14">
        <v>8750</v>
      </c>
      <c r="E315" s="6"/>
      <c r="F315" s="6"/>
    </row>
    <row r="316" spans="1:6" x14ac:dyDescent="0.25">
      <c r="A316" s="2" t="s">
        <v>1090</v>
      </c>
      <c r="B316" s="2" t="s">
        <v>1091</v>
      </c>
      <c r="C316" s="2" t="s">
        <v>556</v>
      </c>
      <c r="D316" s="14">
        <v>715</v>
      </c>
      <c r="E316" s="6"/>
      <c r="F316" s="6"/>
    </row>
    <row r="317" spans="1:6" x14ac:dyDescent="0.25">
      <c r="A317" s="2" t="s">
        <v>1092</v>
      </c>
      <c r="B317" s="2" t="s">
        <v>1093</v>
      </c>
      <c r="C317" s="2" t="s">
        <v>556</v>
      </c>
      <c r="D317" s="14">
        <v>715</v>
      </c>
      <c r="E317" s="6"/>
      <c r="F317" s="6"/>
    </row>
    <row r="318" spans="1:6" x14ac:dyDescent="0.25">
      <c r="A318" s="2" t="s">
        <v>1094</v>
      </c>
      <c r="B318" s="2" t="s">
        <v>1095</v>
      </c>
      <c r="C318" s="2" t="s">
        <v>556</v>
      </c>
      <c r="D318" s="14">
        <v>715</v>
      </c>
      <c r="E318" s="6"/>
      <c r="F318" s="6"/>
    </row>
    <row r="319" spans="1:6" x14ac:dyDescent="0.25">
      <c r="A319" s="2" t="s">
        <v>1096</v>
      </c>
      <c r="B319" s="2" t="s">
        <v>1097</v>
      </c>
      <c r="C319" s="2" t="s">
        <v>556</v>
      </c>
      <c r="D319" s="14">
        <v>715</v>
      </c>
      <c r="E319" s="6"/>
      <c r="F319" s="6"/>
    </row>
    <row r="320" spans="1:6" x14ac:dyDescent="0.25">
      <c r="A320" s="2" t="s">
        <v>1098</v>
      </c>
      <c r="B320" s="2" t="s">
        <v>1099</v>
      </c>
      <c r="C320" s="2" t="s">
        <v>556</v>
      </c>
      <c r="D320" s="14">
        <v>715</v>
      </c>
      <c r="E320" s="6"/>
      <c r="F320" s="6"/>
    </row>
    <row r="321" spans="1:6" x14ac:dyDescent="0.25">
      <c r="A321" s="2" t="s">
        <v>1100</v>
      </c>
      <c r="B321" s="2" t="s">
        <v>1101</v>
      </c>
      <c r="C321" s="2" t="s">
        <v>586</v>
      </c>
      <c r="D321" s="14">
        <v>30</v>
      </c>
      <c r="E321" s="6"/>
      <c r="F321" s="6"/>
    </row>
    <row r="322" spans="1:6" x14ac:dyDescent="0.25">
      <c r="A322" s="2" t="s">
        <v>1102</v>
      </c>
      <c r="B322" s="2" t="s">
        <v>1103</v>
      </c>
      <c r="C322" s="2" t="s">
        <v>569</v>
      </c>
      <c r="D322" s="14">
        <v>1200</v>
      </c>
      <c r="E322" s="6"/>
      <c r="F322" s="6"/>
    </row>
    <row r="323" spans="1:6" x14ac:dyDescent="0.25">
      <c r="A323" s="2" t="s">
        <v>1104</v>
      </c>
      <c r="B323" s="2" t="s">
        <v>1105</v>
      </c>
      <c r="C323" s="2" t="s">
        <v>519</v>
      </c>
      <c r="D323" s="14">
        <v>550</v>
      </c>
      <c r="E323" s="6"/>
      <c r="F323" s="6"/>
    </row>
    <row r="324" spans="1:6" x14ac:dyDescent="0.25">
      <c r="A324" s="2" t="s">
        <v>1106</v>
      </c>
      <c r="B324" s="2" t="s">
        <v>1107</v>
      </c>
      <c r="C324" s="2" t="s">
        <v>519</v>
      </c>
      <c r="D324" s="14">
        <v>550</v>
      </c>
      <c r="E324" s="6"/>
      <c r="F324" s="6"/>
    </row>
    <row r="325" spans="1:6" x14ac:dyDescent="0.25">
      <c r="A325" s="2" t="s">
        <v>1108</v>
      </c>
      <c r="B325" s="2" t="s">
        <v>1109</v>
      </c>
      <c r="C325" s="2" t="s">
        <v>519</v>
      </c>
      <c r="D325" s="14">
        <v>550</v>
      </c>
      <c r="E325" s="6"/>
      <c r="F325" s="6"/>
    </row>
    <row r="326" spans="1:6" x14ac:dyDescent="0.25">
      <c r="A326" s="2" t="s">
        <v>1110</v>
      </c>
      <c r="B326" s="2" t="s">
        <v>1111</v>
      </c>
      <c r="C326" s="2" t="s">
        <v>519</v>
      </c>
      <c r="D326" s="14">
        <v>550</v>
      </c>
      <c r="E326" s="6"/>
      <c r="F326" s="6"/>
    </row>
    <row r="327" spans="1:6" x14ac:dyDescent="0.25">
      <c r="A327" s="2" t="s">
        <v>1112</v>
      </c>
      <c r="B327" s="2" t="s">
        <v>1113</v>
      </c>
      <c r="C327" s="2" t="s">
        <v>556</v>
      </c>
      <c r="D327" s="14">
        <v>775</v>
      </c>
      <c r="E327" s="6"/>
      <c r="F327" s="6"/>
    </row>
    <row r="328" spans="1:6" x14ac:dyDescent="0.25">
      <c r="A328" s="2" t="s">
        <v>1114</v>
      </c>
      <c r="B328" s="2" t="s">
        <v>1115</v>
      </c>
      <c r="C328" s="2" t="s">
        <v>556</v>
      </c>
      <c r="D328" s="14">
        <v>775</v>
      </c>
      <c r="E328" s="6"/>
      <c r="F328" s="6"/>
    </row>
    <row r="329" spans="1:6" x14ac:dyDescent="0.25">
      <c r="A329" s="2" t="s">
        <v>1116</v>
      </c>
      <c r="B329" s="2" t="s">
        <v>1117</v>
      </c>
      <c r="C329" s="2" t="s">
        <v>556</v>
      </c>
      <c r="D329" s="14">
        <v>775</v>
      </c>
      <c r="E329" s="6"/>
      <c r="F329" s="6"/>
    </row>
    <row r="330" spans="1:6" x14ac:dyDescent="0.25">
      <c r="A330" s="2" t="s">
        <v>1118</v>
      </c>
      <c r="B330" s="2" t="s">
        <v>1119</v>
      </c>
      <c r="C330" s="2" t="s">
        <v>448</v>
      </c>
      <c r="D330" s="14">
        <v>1200</v>
      </c>
      <c r="E330" s="6"/>
      <c r="F330" s="6"/>
    </row>
    <row r="331" spans="1:6" x14ac:dyDescent="0.25">
      <c r="A331" s="2" t="s">
        <v>1120</v>
      </c>
      <c r="B331" s="2" t="s">
        <v>1121</v>
      </c>
      <c r="C331" s="2" t="s">
        <v>448</v>
      </c>
      <c r="D331" s="14">
        <v>1200</v>
      </c>
      <c r="E331" s="6"/>
      <c r="F331" s="6"/>
    </row>
    <row r="332" spans="1:6" x14ac:dyDescent="0.25">
      <c r="A332" s="2" t="s">
        <v>1122</v>
      </c>
      <c r="B332" s="2" t="s">
        <v>1123</v>
      </c>
      <c r="C332" s="2" t="s">
        <v>801</v>
      </c>
      <c r="D332" s="14">
        <v>650</v>
      </c>
      <c r="E332" s="6"/>
      <c r="F332" s="6"/>
    </row>
    <row r="333" spans="1:6" x14ac:dyDescent="0.25">
      <c r="A333" s="2" t="s">
        <v>1124</v>
      </c>
      <c r="B333" s="2" t="s">
        <v>1125</v>
      </c>
      <c r="C333" s="2" t="s">
        <v>586</v>
      </c>
      <c r="D333" s="14">
        <v>50</v>
      </c>
      <c r="E333" s="6"/>
      <c r="F333" s="6"/>
    </row>
    <row r="334" spans="1:6" x14ac:dyDescent="0.25">
      <c r="A334" s="2" t="s">
        <v>1126</v>
      </c>
      <c r="B334" s="2" t="s">
        <v>1127</v>
      </c>
      <c r="C334" s="2" t="s">
        <v>586</v>
      </c>
      <c r="D334" s="14">
        <v>175</v>
      </c>
      <c r="E334" s="6"/>
      <c r="F334" s="6"/>
    </row>
    <row r="335" spans="1:6" x14ac:dyDescent="0.25">
      <c r="A335" s="2" t="s">
        <v>1128</v>
      </c>
      <c r="B335" s="2" t="s">
        <v>1129</v>
      </c>
      <c r="C335" s="2" t="s">
        <v>586</v>
      </c>
      <c r="D335" s="14">
        <v>750</v>
      </c>
      <c r="E335" s="6"/>
      <c r="F335" s="6"/>
    </row>
    <row r="336" spans="1:6" x14ac:dyDescent="0.25">
      <c r="A336" s="2" t="s">
        <v>1130</v>
      </c>
      <c r="B336" s="2" t="s">
        <v>1131</v>
      </c>
      <c r="C336" s="2" t="s">
        <v>801</v>
      </c>
      <c r="D336" s="14">
        <v>850</v>
      </c>
      <c r="E336" s="6"/>
      <c r="F336" s="6"/>
    </row>
    <row r="337" spans="1:6" x14ac:dyDescent="0.25">
      <c r="A337" s="2" t="s">
        <v>1132</v>
      </c>
      <c r="B337" s="2" t="s">
        <v>1133</v>
      </c>
      <c r="C337" s="2" t="s">
        <v>1134</v>
      </c>
      <c r="D337" s="14">
        <v>90</v>
      </c>
      <c r="E337" s="6"/>
      <c r="F337" s="6"/>
    </row>
    <row r="338" spans="1:6" x14ac:dyDescent="0.25">
      <c r="A338" s="2" t="s">
        <v>1135</v>
      </c>
      <c r="B338" s="2" t="s">
        <v>1136</v>
      </c>
      <c r="C338" s="2" t="s">
        <v>1137</v>
      </c>
      <c r="D338" s="14">
        <v>1200</v>
      </c>
      <c r="E338" s="6"/>
      <c r="F338" s="6"/>
    </row>
    <row r="339" spans="1:6" x14ac:dyDescent="0.25">
      <c r="A339" s="2" t="s">
        <v>1138</v>
      </c>
      <c r="B339" s="2" t="s">
        <v>1139</v>
      </c>
      <c r="C339" s="2" t="s">
        <v>667</v>
      </c>
      <c r="D339" s="14">
        <v>50</v>
      </c>
      <c r="E339" s="6"/>
      <c r="F339" s="6"/>
    </row>
    <row r="340" spans="1:6" x14ac:dyDescent="0.25">
      <c r="A340" s="2" t="s">
        <v>1140</v>
      </c>
      <c r="B340" s="2" t="s">
        <v>1141</v>
      </c>
      <c r="C340" s="2" t="s">
        <v>1137</v>
      </c>
      <c r="D340" s="14">
        <v>1000</v>
      </c>
      <c r="E340" s="6"/>
      <c r="F340" s="6"/>
    </row>
    <row r="341" spans="1:6" x14ac:dyDescent="0.25">
      <c r="A341" s="2" t="s">
        <v>1142</v>
      </c>
      <c r="B341" s="2" t="s">
        <v>1143</v>
      </c>
      <c r="C341" s="2" t="s">
        <v>448</v>
      </c>
      <c r="D341" s="14">
        <v>925</v>
      </c>
      <c r="E341" s="6"/>
      <c r="F341" s="6"/>
    </row>
    <row r="342" spans="1:6" x14ac:dyDescent="0.25">
      <c r="A342" s="2" t="s">
        <v>1144</v>
      </c>
      <c r="B342" s="2" t="s">
        <v>1145</v>
      </c>
      <c r="C342" s="2" t="s">
        <v>569</v>
      </c>
      <c r="D342" s="14">
        <v>130</v>
      </c>
      <c r="E342" s="6"/>
      <c r="F342" s="6"/>
    </row>
    <row r="343" spans="1:6" x14ac:dyDescent="0.25">
      <c r="A343" s="2" t="s">
        <v>1146</v>
      </c>
      <c r="B343" s="2" t="s">
        <v>1147</v>
      </c>
      <c r="C343" s="2" t="s">
        <v>712</v>
      </c>
      <c r="D343" s="14">
        <v>116000</v>
      </c>
      <c r="E343" s="6"/>
      <c r="F343" s="6"/>
    </row>
    <row r="344" spans="1:6" x14ac:dyDescent="0.25">
      <c r="A344" s="2" t="s">
        <v>1148</v>
      </c>
      <c r="B344" s="2" t="s">
        <v>1149</v>
      </c>
      <c r="C344" s="2" t="s">
        <v>490</v>
      </c>
      <c r="D344" s="14">
        <v>48000</v>
      </c>
      <c r="E344" s="6"/>
      <c r="F344" s="6"/>
    </row>
    <row r="345" spans="1:6" x14ac:dyDescent="0.25">
      <c r="A345" s="2" t="s">
        <v>1150</v>
      </c>
      <c r="B345" s="2" t="s">
        <v>1151</v>
      </c>
      <c r="C345" s="2" t="s">
        <v>461</v>
      </c>
      <c r="D345" s="14">
        <v>120</v>
      </c>
      <c r="E345" s="6"/>
      <c r="F345" s="6"/>
    </row>
    <row r="346" spans="1:6" x14ac:dyDescent="0.25">
      <c r="A346" s="2" t="s">
        <v>1152</v>
      </c>
      <c r="B346" s="2" t="s">
        <v>1153</v>
      </c>
      <c r="C346" s="2" t="s">
        <v>448</v>
      </c>
      <c r="D346" s="14">
        <v>200</v>
      </c>
      <c r="E346" s="6"/>
      <c r="F346" s="6"/>
    </row>
    <row r="347" spans="1:6" x14ac:dyDescent="0.25">
      <c r="A347" s="2" t="s">
        <v>1154</v>
      </c>
      <c r="B347" s="2" t="s">
        <v>1155</v>
      </c>
      <c r="C347" s="2" t="s">
        <v>448</v>
      </c>
      <c r="D347" s="14">
        <v>150</v>
      </c>
      <c r="E347" s="6"/>
      <c r="F347" s="6"/>
    </row>
    <row r="348" spans="1:6" x14ac:dyDescent="0.25">
      <c r="A348" s="2" t="s">
        <v>1156</v>
      </c>
      <c r="B348" s="2" t="s">
        <v>1157</v>
      </c>
      <c r="C348" s="2" t="s">
        <v>448</v>
      </c>
      <c r="D348" s="14">
        <v>300</v>
      </c>
      <c r="E348" s="6"/>
      <c r="F348" s="6"/>
    </row>
    <row r="349" spans="1:6" x14ac:dyDescent="0.25">
      <c r="A349" s="2" t="s">
        <v>1158</v>
      </c>
      <c r="B349" s="2" t="s">
        <v>1159</v>
      </c>
      <c r="C349" s="2" t="s">
        <v>1160</v>
      </c>
      <c r="D349" s="14">
        <v>2500</v>
      </c>
      <c r="E349" s="6"/>
      <c r="F349" s="6">
        <v>60</v>
      </c>
    </row>
    <row r="350" spans="1:6" x14ac:dyDescent="0.25">
      <c r="A350" s="2" t="s">
        <v>1161</v>
      </c>
      <c r="B350" s="2" t="s">
        <v>1162</v>
      </c>
      <c r="C350" s="2" t="s">
        <v>448</v>
      </c>
      <c r="D350" s="14">
        <v>20</v>
      </c>
      <c r="E350" s="6"/>
      <c r="F350" s="6"/>
    </row>
    <row r="351" spans="1:6" x14ac:dyDescent="0.25">
      <c r="A351" s="2" t="s">
        <v>1163</v>
      </c>
      <c r="B351" s="2" t="s">
        <v>1164</v>
      </c>
      <c r="C351" s="2" t="s">
        <v>1165</v>
      </c>
      <c r="D351" s="14">
        <v>60</v>
      </c>
      <c r="E351" s="6"/>
      <c r="F351" s="6"/>
    </row>
    <row r="352" spans="1:6" x14ac:dyDescent="0.25">
      <c r="A352" s="2" t="s">
        <v>1166</v>
      </c>
      <c r="B352" s="2" t="s">
        <v>1167</v>
      </c>
      <c r="C352" s="2" t="s">
        <v>1165</v>
      </c>
      <c r="D352" s="14">
        <v>50</v>
      </c>
      <c r="E352" s="6"/>
      <c r="F352" s="6"/>
    </row>
    <row r="353" spans="1:6" x14ac:dyDescent="0.25">
      <c r="A353" s="2" t="s">
        <v>1168</v>
      </c>
      <c r="B353" s="2" t="s">
        <v>1169</v>
      </c>
      <c r="C353" s="2" t="s">
        <v>1165</v>
      </c>
      <c r="D353" s="14">
        <v>45</v>
      </c>
      <c r="E353" s="6"/>
      <c r="F353" s="6"/>
    </row>
    <row r="354" spans="1:6" x14ac:dyDescent="0.25">
      <c r="A354" s="2" t="s">
        <v>1170</v>
      </c>
      <c r="B354" s="2" t="s">
        <v>1171</v>
      </c>
      <c r="C354" s="2" t="s">
        <v>1165</v>
      </c>
      <c r="D354" s="14">
        <v>35</v>
      </c>
      <c r="E354" s="6"/>
      <c r="F354" s="6"/>
    </row>
    <row r="355" spans="1:6" x14ac:dyDescent="0.25">
      <c r="A355" s="2" t="s">
        <v>1172</v>
      </c>
      <c r="B355" s="2" t="s">
        <v>1173</v>
      </c>
      <c r="C355" s="2" t="s">
        <v>586</v>
      </c>
      <c r="D355" s="14">
        <v>30</v>
      </c>
      <c r="E355" s="6"/>
      <c r="F355" s="6"/>
    </row>
    <row r="356" spans="1:6" x14ac:dyDescent="0.25">
      <c r="A356" s="2" t="s">
        <v>1174</v>
      </c>
      <c r="B356" s="2" t="s">
        <v>1175</v>
      </c>
      <c r="C356" s="2" t="s">
        <v>586</v>
      </c>
      <c r="D356" s="14">
        <v>30</v>
      </c>
      <c r="E356" s="6"/>
      <c r="F356" s="6"/>
    </row>
    <row r="357" spans="1:6" x14ac:dyDescent="0.25">
      <c r="A357" s="2" t="s">
        <v>1176</v>
      </c>
      <c r="B357" s="2" t="s">
        <v>1177</v>
      </c>
      <c r="C357" s="2" t="s">
        <v>448</v>
      </c>
      <c r="D357" s="14">
        <v>20</v>
      </c>
      <c r="E357" s="6"/>
      <c r="F357" s="6"/>
    </row>
    <row r="358" spans="1:6" x14ac:dyDescent="0.25">
      <c r="A358" s="2" t="s">
        <v>1178</v>
      </c>
      <c r="B358" s="2" t="s">
        <v>1179</v>
      </c>
      <c r="C358" s="2" t="s">
        <v>448</v>
      </c>
      <c r="D358" s="14">
        <v>20</v>
      </c>
      <c r="E358" s="6"/>
      <c r="F358" s="6"/>
    </row>
    <row r="359" spans="1:6" x14ac:dyDescent="0.25">
      <c r="A359" s="2" t="s">
        <v>1180</v>
      </c>
      <c r="B359" s="2" t="s">
        <v>1181</v>
      </c>
      <c r="C359" s="2" t="s">
        <v>448</v>
      </c>
      <c r="D359" s="14">
        <v>10</v>
      </c>
      <c r="E359" s="6"/>
      <c r="F359" s="6"/>
    </row>
    <row r="360" spans="1:6" x14ac:dyDescent="0.25">
      <c r="A360" s="2" t="s">
        <v>1182</v>
      </c>
      <c r="B360" s="2" t="s">
        <v>1183</v>
      </c>
      <c r="C360" s="2" t="s">
        <v>448</v>
      </c>
      <c r="D360" s="14">
        <v>110</v>
      </c>
      <c r="E360" s="6"/>
      <c r="F360" s="6"/>
    </row>
    <row r="361" spans="1:6" x14ac:dyDescent="0.25">
      <c r="A361" s="2" t="s">
        <v>1184</v>
      </c>
      <c r="B361" s="2" t="s">
        <v>1185</v>
      </c>
      <c r="C361" s="2" t="s">
        <v>448</v>
      </c>
      <c r="D361" s="14">
        <v>180</v>
      </c>
      <c r="E361" s="6"/>
      <c r="F361" s="6"/>
    </row>
    <row r="362" spans="1:6" x14ac:dyDescent="0.25">
      <c r="A362" s="2" t="s">
        <v>1186</v>
      </c>
      <c r="B362" s="2" t="s">
        <v>1187</v>
      </c>
      <c r="C362" s="2" t="s">
        <v>448</v>
      </c>
      <c r="D362" s="14">
        <v>130</v>
      </c>
      <c r="E362" s="6"/>
      <c r="F362" s="6"/>
    </row>
    <row r="363" spans="1:6" x14ac:dyDescent="0.25">
      <c r="A363" s="2" t="s">
        <v>1188</v>
      </c>
      <c r="B363" s="2" t="s">
        <v>1189</v>
      </c>
      <c r="C363" s="2" t="s">
        <v>448</v>
      </c>
      <c r="D363" s="14">
        <v>20</v>
      </c>
      <c r="E363" s="6"/>
      <c r="F363" s="6"/>
    </row>
    <row r="364" spans="1:6" x14ac:dyDescent="0.25">
      <c r="A364" s="2" t="s">
        <v>1190</v>
      </c>
      <c r="B364" s="2" t="s">
        <v>1191</v>
      </c>
      <c r="C364" s="2" t="s">
        <v>448</v>
      </c>
      <c r="D364" s="14">
        <v>20</v>
      </c>
      <c r="E364" s="6"/>
      <c r="F364" s="6"/>
    </row>
    <row r="365" spans="1:6" x14ac:dyDescent="0.25">
      <c r="A365" s="2" t="s">
        <v>1192</v>
      </c>
      <c r="B365" s="2" t="s">
        <v>1193</v>
      </c>
      <c r="C365" s="2" t="s">
        <v>448</v>
      </c>
      <c r="D365" s="14">
        <v>20</v>
      </c>
      <c r="E365" s="6"/>
      <c r="F365" s="6"/>
    </row>
    <row r="366" spans="1:6" x14ac:dyDescent="0.25">
      <c r="A366" s="2" t="s">
        <v>1194</v>
      </c>
      <c r="B366" s="2" t="s">
        <v>1195</v>
      </c>
      <c r="C366" s="2" t="s">
        <v>448</v>
      </c>
      <c r="D366" s="14">
        <v>20</v>
      </c>
      <c r="E366" s="6"/>
      <c r="F366" s="6"/>
    </row>
    <row r="367" spans="1:6" x14ac:dyDescent="0.25">
      <c r="A367" s="2" t="s">
        <v>1196</v>
      </c>
      <c r="B367" s="2" t="s">
        <v>1197</v>
      </c>
      <c r="C367" s="2" t="s">
        <v>448</v>
      </c>
      <c r="D367" s="14">
        <v>20</v>
      </c>
      <c r="E367" s="6"/>
      <c r="F367" s="6"/>
    </row>
    <row r="368" spans="1:6" x14ac:dyDescent="0.25">
      <c r="A368" s="2" t="s">
        <v>1198</v>
      </c>
      <c r="B368" s="2" t="s">
        <v>1199</v>
      </c>
      <c r="C368" s="2" t="s">
        <v>469</v>
      </c>
      <c r="D368" s="14">
        <v>10756</v>
      </c>
      <c r="E368" s="6">
        <v>20</v>
      </c>
      <c r="F368" s="6"/>
    </row>
    <row r="369" spans="1:6" x14ac:dyDescent="0.25">
      <c r="A369" s="2" t="s">
        <v>1200</v>
      </c>
      <c r="B369" s="2" t="s">
        <v>1201</v>
      </c>
      <c r="C369" s="2" t="s">
        <v>448</v>
      </c>
      <c r="D369" s="14">
        <v>155</v>
      </c>
      <c r="E369" s="6"/>
      <c r="F369" s="6"/>
    </row>
    <row r="370" spans="1:6" x14ac:dyDescent="0.25">
      <c r="A370" s="2" t="s">
        <v>1202</v>
      </c>
      <c r="B370" s="2" t="s">
        <v>1203</v>
      </c>
      <c r="C370" s="2" t="s">
        <v>448</v>
      </c>
      <c r="D370" s="14">
        <v>180</v>
      </c>
      <c r="E370" s="6"/>
      <c r="F370" s="6"/>
    </row>
    <row r="371" spans="1:6" x14ac:dyDescent="0.25">
      <c r="A371" s="2" t="s">
        <v>1204</v>
      </c>
      <c r="B371" s="2" t="s">
        <v>1205</v>
      </c>
      <c r="C371" s="2" t="s">
        <v>448</v>
      </c>
      <c r="D371" s="14">
        <v>120</v>
      </c>
      <c r="E371" s="6"/>
      <c r="F371" s="6"/>
    </row>
    <row r="372" spans="1:6" x14ac:dyDescent="0.25">
      <c r="A372" s="2" t="s">
        <v>1206</v>
      </c>
      <c r="B372" s="2" t="s">
        <v>1207</v>
      </c>
      <c r="C372" s="2" t="s">
        <v>448</v>
      </c>
      <c r="D372" s="14">
        <v>155</v>
      </c>
      <c r="E372" s="6"/>
      <c r="F372" s="6"/>
    </row>
    <row r="373" spans="1:6" x14ac:dyDescent="0.25">
      <c r="A373" s="2" t="s">
        <v>1208</v>
      </c>
      <c r="B373" s="2" t="s">
        <v>1209</v>
      </c>
      <c r="C373" s="2" t="s">
        <v>448</v>
      </c>
      <c r="D373" s="14">
        <v>140</v>
      </c>
      <c r="E373" s="6"/>
      <c r="F373" s="6"/>
    </row>
    <row r="374" spans="1:6" x14ac:dyDescent="0.25">
      <c r="A374" s="2" t="s">
        <v>1210</v>
      </c>
      <c r="B374" s="2" t="s">
        <v>1211</v>
      </c>
      <c r="C374" s="2" t="s">
        <v>448</v>
      </c>
      <c r="D374" s="14">
        <v>140</v>
      </c>
      <c r="E374" s="6"/>
      <c r="F374" s="6"/>
    </row>
    <row r="375" spans="1:6" x14ac:dyDescent="0.25">
      <c r="A375" s="2" t="s">
        <v>1212</v>
      </c>
      <c r="B375" s="2" t="s">
        <v>1213</v>
      </c>
      <c r="C375" s="2" t="s">
        <v>448</v>
      </c>
      <c r="D375" s="14">
        <v>600</v>
      </c>
      <c r="E375" s="6"/>
      <c r="F375" s="6"/>
    </row>
    <row r="376" spans="1:6" x14ac:dyDescent="0.25">
      <c r="A376" s="2" t="s">
        <v>1214</v>
      </c>
      <c r="B376" s="2" t="s">
        <v>1215</v>
      </c>
      <c r="C376" s="2" t="s">
        <v>464</v>
      </c>
      <c r="D376" s="14">
        <v>125000</v>
      </c>
      <c r="E376" s="6"/>
      <c r="F376" s="6"/>
    </row>
    <row r="377" spans="1:6" x14ac:dyDescent="0.25">
      <c r="A377" s="2" t="s">
        <v>1216</v>
      </c>
      <c r="B377" s="2" t="s">
        <v>1217</v>
      </c>
      <c r="C377" s="2" t="s">
        <v>667</v>
      </c>
      <c r="D377" s="14">
        <v>360</v>
      </c>
      <c r="E377" s="6"/>
      <c r="F377" s="6"/>
    </row>
    <row r="378" spans="1:6" x14ac:dyDescent="0.25">
      <c r="A378" s="2" t="s">
        <v>1218</v>
      </c>
      <c r="B378" s="2" t="s">
        <v>1219</v>
      </c>
      <c r="C378" s="2" t="s">
        <v>448</v>
      </c>
      <c r="D378" s="14">
        <v>320</v>
      </c>
      <c r="E378" s="6"/>
      <c r="F378" s="6"/>
    </row>
    <row r="379" spans="1:6" x14ac:dyDescent="0.25">
      <c r="A379" s="2" t="s">
        <v>1220</v>
      </c>
      <c r="B379" s="2" t="s">
        <v>1221</v>
      </c>
      <c r="C379" s="2" t="s">
        <v>569</v>
      </c>
      <c r="D379" s="14">
        <v>3250</v>
      </c>
      <c r="E379" s="6"/>
      <c r="F379" s="6"/>
    </row>
    <row r="380" spans="1:6" x14ac:dyDescent="0.25">
      <c r="A380" s="2" t="s">
        <v>1222</v>
      </c>
      <c r="B380" s="2" t="s">
        <v>1223</v>
      </c>
      <c r="C380" s="2" t="s">
        <v>469</v>
      </c>
      <c r="D380" s="14">
        <v>500</v>
      </c>
      <c r="E380" s="6">
        <v>10</v>
      </c>
      <c r="F380" s="6"/>
    </row>
    <row r="381" spans="1:6" x14ac:dyDescent="0.25">
      <c r="A381" s="2" t="s">
        <v>1224</v>
      </c>
      <c r="B381" s="2" t="s">
        <v>1225</v>
      </c>
      <c r="C381" s="2" t="s">
        <v>448</v>
      </c>
      <c r="D381" s="14">
        <v>60</v>
      </c>
      <c r="E381" s="6"/>
      <c r="F381" s="6"/>
    </row>
    <row r="382" spans="1:6" x14ac:dyDescent="0.25">
      <c r="A382" s="2" t="s">
        <v>1226</v>
      </c>
      <c r="B382" s="2" t="s">
        <v>1227</v>
      </c>
      <c r="C382" s="2" t="s">
        <v>448</v>
      </c>
      <c r="D382" s="14">
        <v>55</v>
      </c>
      <c r="E382" s="6"/>
      <c r="F382" s="6"/>
    </row>
    <row r="383" spans="1:6" x14ac:dyDescent="0.25">
      <c r="A383" s="2" t="s">
        <v>1228</v>
      </c>
      <c r="B383" s="2" t="s">
        <v>1229</v>
      </c>
      <c r="C383" s="2" t="s">
        <v>448</v>
      </c>
      <c r="D383" s="14">
        <v>40</v>
      </c>
      <c r="E383" s="6"/>
      <c r="F383" s="6"/>
    </row>
    <row r="384" spans="1:6" x14ac:dyDescent="0.25">
      <c r="A384" s="2" t="s">
        <v>1230</v>
      </c>
      <c r="B384" s="2" t="s">
        <v>1231</v>
      </c>
      <c r="C384" s="2" t="s">
        <v>721</v>
      </c>
      <c r="D384" s="14">
        <v>3350</v>
      </c>
      <c r="E384" s="6">
        <v>25</v>
      </c>
      <c r="F384" s="6"/>
    </row>
    <row r="385" spans="1:6" x14ac:dyDescent="0.25">
      <c r="A385" s="2" t="s">
        <v>1232</v>
      </c>
      <c r="B385" s="2" t="s">
        <v>1233</v>
      </c>
      <c r="C385" s="2" t="s">
        <v>1234</v>
      </c>
      <c r="D385" s="14">
        <v>2600</v>
      </c>
      <c r="E385" s="6">
        <v>10</v>
      </c>
      <c r="F385" s="6"/>
    </row>
    <row r="386" spans="1:6" x14ac:dyDescent="0.25">
      <c r="A386" s="2" t="s">
        <v>1235</v>
      </c>
      <c r="B386" s="2" t="s">
        <v>1236</v>
      </c>
      <c r="C386" s="2" t="s">
        <v>547</v>
      </c>
      <c r="D386" s="14">
        <v>280</v>
      </c>
      <c r="E386" s="6">
        <v>2</v>
      </c>
      <c r="F386" s="6"/>
    </row>
    <row r="387" spans="1:6" x14ac:dyDescent="0.25">
      <c r="A387" s="2" t="s">
        <v>1237</v>
      </c>
      <c r="B387" s="2" t="s">
        <v>1238</v>
      </c>
      <c r="C387" s="2" t="s">
        <v>448</v>
      </c>
      <c r="D387" s="14">
        <v>1800</v>
      </c>
      <c r="E387" s="6"/>
      <c r="F387" s="6"/>
    </row>
    <row r="388" spans="1:6" x14ac:dyDescent="0.25">
      <c r="A388" s="2" t="s">
        <v>1239</v>
      </c>
      <c r="B388" s="2" t="s">
        <v>1240</v>
      </c>
      <c r="C388" s="2" t="s">
        <v>448</v>
      </c>
      <c r="D388" s="14">
        <v>2250</v>
      </c>
      <c r="E388" s="6"/>
      <c r="F388" s="6"/>
    </row>
    <row r="389" spans="1:6" x14ac:dyDescent="0.25">
      <c r="A389" s="2" t="s">
        <v>1241</v>
      </c>
      <c r="B389" s="2" t="s">
        <v>1242</v>
      </c>
      <c r="C389" s="2" t="s">
        <v>448</v>
      </c>
      <c r="D389" s="14">
        <v>40</v>
      </c>
      <c r="E389" s="6"/>
      <c r="F389" s="6"/>
    </row>
    <row r="390" spans="1:6" x14ac:dyDescent="0.25">
      <c r="A390" s="2" t="s">
        <v>1243</v>
      </c>
      <c r="B390" s="2" t="s">
        <v>1244</v>
      </c>
      <c r="C390" s="2" t="s">
        <v>448</v>
      </c>
      <c r="D390" s="14">
        <v>40</v>
      </c>
      <c r="E390" s="6"/>
      <c r="F390" s="6"/>
    </row>
    <row r="391" spans="1:6" x14ac:dyDescent="0.25">
      <c r="A391" s="2" t="s">
        <v>1245</v>
      </c>
      <c r="B391" s="2" t="s">
        <v>1246</v>
      </c>
      <c r="C391" s="2" t="s">
        <v>448</v>
      </c>
      <c r="D391" s="14">
        <v>40</v>
      </c>
      <c r="E391" s="6"/>
      <c r="F391" s="6"/>
    </row>
    <row r="392" spans="1:6" x14ac:dyDescent="0.25">
      <c r="A392" s="2" t="s">
        <v>1247</v>
      </c>
      <c r="B392" s="2" t="s">
        <v>1248</v>
      </c>
      <c r="C392" s="2" t="s">
        <v>586</v>
      </c>
      <c r="D392" s="14">
        <v>30</v>
      </c>
      <c r="E392" s="6"/>
      <c r="F392" s="6"/>
    </row>
    <row r="393" spans="1:6" x14ac:dyDescent="0.25">
      <c r="A393" s="2" t="s">
        <v>1249</v>
      </c>
      <c r="B393" s="2" t="s">
        <v>1250</v>
      </c>
      <c r="C393" s="2" t="s">
        <v>461</v>
      </c>
      <c r="D393" s="14">
        <v>100</v>
      </c>
      <c r="E393" s="6"/>
      <c r="F393" s="6"/>
    </row>
    <row r="394" spans="1:6" x14ac:dyDescent="0.25">
      <c r="A394" s="2" t="s">
        <v>1251</v>
      </c>
      <c r="B394" s="2" t="s">
        <v>1252</v>
      </c>
      <c r="C394" s="2" t="s">
        <v>1253</v>
      </c>
      <c r="D394" s="14">
        <v>2000</v>
      </c>
      <c r="E394" s="6"/>
      <c r="F394" s="6"/>
    </row>
    <row r="395" spans="1:6" x14ac:dyDescent="0.25">
      <c r="A395" s="2" t="s">
        <v>1254</v>
      </c>
      <c r="B395" s="2" t="s">
        <v>1255</v>
      </c>
      <c r="C395" s="2" t="s">
        <v>448</v>
      </c>
      <c r="D395" s="14">
        <v>55</v>
      </c>
      <c r="E395" s="6"/>
      <c r="F395" s="6"/>
    </row>
    <row r="396" spans="1:6" x14ac:dyDescent="0.25">
      <c r="A396" s="2" t="s">
        <v>1256</v>
      </c>
      <c r="B396" s="2" t="s">
        <v>1257</v>
      </c>
      <c r="C396" s="2" t="s">
        <v>448</v>
      </c>
      <c r="D396" s="14">
        <v>220</v>
      </c>
      <c r="E396" s="6"/>
      <c r="F396" s="6"/>
    </row>
    <row r="397" spans="1:6" x14ac:dyDescent="0.25">
      <c r="A397" s="2" t="s">
        <v>1258</v>
      </c>
      <c r="B397" s="2" t="s">
        <v>1259</v>
      </c>
      <c r="C397" s="2" t="s">
        <v>448</v>
      </c>
      <c r="D397" s="14">
        <v>650</v>
      </c>
      <c r="E397" s="6"/>
      <c r="F397" s="6"/>
    </row>
    <row r="398" spans="1:6" x14ac:dyDescent="0.25">
      <c r="A398" s="2" t="s">
        <v>1260</v>
      </c>
      <c r="B398" s="2" t="s">
        <v>1261</v>
      </c>
      <c r="C398" s="2" t="s">
        <v>448</v>
      </c>
      <c r="D398" s="14">
        <v>725</v>
      </c>
      <c r="E398" s="6"/>
      <c r="F398" s="6"/>
    </row>
    <row r="399" spans="1:6" x14ac:dyDescent="0.25">
      <c r="A399" s="2" t="s">
        <v>1262</v>
      </c>
      <c r="B399" s="2" t="s">
        <v>1263</v>
      </c>
      <c r="C399" s="2" t="s">
        <v>448</v>
      </c>
      <c r="D399" s="14">
        <v>320</v>
      </c>
      <c r="E399" s="6"/>
      <c r="F399" s="6"/>
    </row>
    <row r="400" spans="1:6" x14ac:dyDescent="0.25">
      <c r="A400" s="2" t="s">
        <v>1264</v>
      </c>
      <c r="B400" s="2" t="s">
        <v>1265</v>
      </c>
      <c r="C400" s="2" t="s">
        <v>448</v>
      </c>
      <c r="D400" s="14">
        <v>375</v>
      </c>
      <c r="E400" s="6"/>
      <c r="F400" s="6"/>
    </row>
    <row r="401" spans="1:6" x14ac:dyDescent="0.25">
      <c r="A401" s="2" t="s">
        <v>1266</v>
      </c>
      <c r="B401" s="2" t="s">
        <v>1267</v>
      </c>
      <c r="C401" s="2" t="s">
        <v>448</v>
      </c>
      <c r="D401" s="14">
        <v>375</v>
      </c>
      <c r="E401" s="6"/>
      <c r="F401" s="6"/>
    </row>
    <row r="402" spans="1:6" x14ac:dyDescent="0.25">
      <c r="A402" s="2" t="s">
        <v>1268</v>
      </c>
      <c r="B402" s="2" t="s">
        <v>1269</v>
      </c>
      <c r="C402" s="2" t="s">
        <v>448</v>
      </c>
      <c r="D402" s="14">
        <v>600</v>
      </c>
      <c r="E402" s="6"/>
      <c r="F402" s="6"/>
    </row>
    <row r="403" spans="1:6" x14ac:dyDescent="0.25">
      <c r="A403" s="2" t="s">
        <v>1270</v>
      </c>
      <c r="B403" s="2" t="s">
        <v>1271</v>
      </c>
      <c r="C403" s="2" t="s">
        <v>448</v>
      </c>
      <c r="D403" s="14">
        <v>160</v>
      </c>
      <c r="E403" s="6"/>
      <c r="F403" s="6"/>
    </row>
    <row r="404" spans="1:6" x14ac:dyDescent="0.25">
      <c r="A404" s="2" t="s">
        <v>1272</v>
      </c>
      <c r="B404" s="2" t="s">
        <v>1273</v>
      </c>
      <c r="C404" s="2" t="s">
        <v>448</v>
      </c>
      <c r="D404" s="14">
        <v>1000</v>
      </c>
      <c r="E404" s="6"/>
      <c r="F404" s="6"/>
    </row>
    <row r="405" spans="1:6" x14ac:dyDescent="0.25">
      <c r="A405" s="2" t="s">
        <v>1274</v>
      </c>
      <c r="B405" s="2" t="s">
        <v>1275</v>
      </c>
      <c r="C405" s="2" t="s">
        <v>586</v>
      </c>
      <c r="D405" s="14">
        <v>30</v>
      </c>
      <c r="E405" s="6"/>
      <c r="F405" s="6"/>
    </row>
    <row r="406" spans="1:6" x14ac:dyDescent="0.25">
      <c r="A406" s="2" t="s">
        <v>1276</v>
      </c>
      <c r="B406" s="2" t="s">
        <v>1277</v>
      </c>
      <c r="C406" s="2" t="s">
        <v>469</v>
      </c>
      <c r="D406" s="14">
        <v>1200</v>
      </c>
      <c r="E406" s="6">
        <v>15</v>
      </c>
      <c r="F406" s="6"/>
    </row>
    <row r="407" spans="1:6" x14ac:dyDescent="0.25">
      <c r="A407" s="2" t="s">
        <v>1278</v>
      </c>
      <c r="B407" s="2" t="s">
        <v>1279</v>
      </c>
      <c r="C407" s="2" t="s">
        <v>469</v>
      </c>
      <c r="D407" s="14">
        <v>4000</v>
      </c>
      <c r="E407" s="6">
        <v>20</v>
      </c>
      <c r="F407" s="6"/>
    </row>
    <row r="408" spans="1:6" x14ac:dyDescent="0.25">
      <c r="A408" s="2" t="s">
        <v>1280</v>
      </c>
      <c r="B408" s="2" t="s">
        <v>1281</v>
      </c>
      <c r="C408" s="2" t="s">
        <v>461</v>
      </c>
      <c r="D408" s="14">
        <v>4300</v>
      </c>
      <c r="E408" s="6"/>
      <c r="F408" s="6"/>
    </row>
    <row r="409" spans="1:6" x14ac:dyDescent="0.25">
      <c r="A409" s="2" t="s">
        <v>1282</v>
      </c>
      <c r="B409" s="2" t="s">
        <v>1283</v>
      </c>
      <c r="C409" s="2" t="s">
        <v>1284</v>
      </c>
      <c r="D409" s="14">
        <v>2500</v>
      </c>
      <c r="E409" s="6"/>
      <c r="F409" s="6"/>
    </row>
    <row r="410" spans="1:6" x14ac:dyDescent="0.25">
      <c r="A410" s="2" t="s">
        <v>1285</v>
      </c>
      <c r="B410" s="2" t="s">
        <v>1286</v>
      </c>
      <c r="C410" s="2" t="s">
        <v>1284</v>
      </c>
      <c r="D410" s="14">
        <v>2700</v>
      </c>
      <c r="E410" s="6"/>
      <c r="F410" s="6"/>
    </row>
    <row r="411" spans="1:6" x14ac:dyDescent="0.25">
      <c r="A411" s="2" t="s">
        <v>1287</v>
      </c>
      <c r="B411" s="2" t="s">
        <v>1288</v>
      </c>
      <c r="C411" s="2" t="s">
        <v>721</v>
      </c>
      <c r="D411" s="14">
        <v>2000</v>
      </c>
      <c r="E411" s="6"/>
      <c r="F411" s="6"/>
    </row>
    <row r="412" spans="1:6" x14ac:dyDescent="0.25">
      <c r="A412" s="2" t="s">
        <v>1289</v>
      </c>
      <c r="B412" s="2" t="s">
        <v>1290</v>
      </c>
      <c r="C412" s="2" t="s">
        <v>1284</v>
      </c>
      <c r="D412" s="14">
        <v>1200</v>
      </c>
      <c r="E412" s="6"/>
      <c r="F412" s="6"/>
    </row>
    <row r="413" spans="1:6" x14ac:dyDescent="0.25">
      <c r="A413" s="2" t="s">
        <v>1291</v>
      </c>
      <c r="B413" s="2" t="s">
        <v>1292</v>
      </c>
      <c r="C413" s="2" t="s">
        <v>1284</v>
      </c>
      <c r="D413" s="14">
        <v>75</v>
      </c>
      <c r="E413" s="6"/>
      <c r="F413" s="6"/>
    </row>
    <row r="414" spans="1:6" x14ac:dyDescent="0.25">
      <c r="A414" s="2" t="s">
        <v>1293</v>
      </c>
      <c r="B414" s="2" t="s">
        <v>1294</v>
      </c>
      <c r="C414" s="2" t="s">
        <v>448</v>
      </c>
      <c r="D414" s="14">
        <v>100</v>
      </c>
      <c r="E414" s="6"/>
      <c r="F414" s="6"/>
    </row>
    <row r="415" spans="1:6" x14ac:dyDescent="0.25">
      <c r="A415" s="2" t="s">
        <v>1295</v>
      </c>
      <c r="B415" s="2" t="s">
        <v>1296</v>
      </c>
      <c r="C415" s="2" t="s">
        <v>448</v>
      </c>
      <c r="D415" s="14">
        <v>200</v>
      </c>
      <c r="E415" s="6"/>
      <c r="F415" s="6"/>
    </row>
    <row r="416" spans="1:6" x14ac:dyDescent="0.25">
      <c r="A416" s="2" t="s">
        <v>1297</v>
      </c>
      <c r="B416" s="2" t="s">
        <v>1298</v>
      </c>
      <c r="C416" s="2" t="s">
        <v>448</v>
      </c>
      <c r="D416" s="14">
        <v>200</v>
      </c>
      <c r="E416" s="6"/>
      <c r="F416" s="6"/>
    </row>
    <row r="417" spans="1:6" x14ac:dyDescent="0.25">
      <c r="A417" s="2" t="s">
        <v>1299</v>
      </c>
      <c r="B417" s="2" t="s">
        <v>1300</v>
      </c>
      <c r="C417" s="2" t="s">
        <v>490</v>
      </c>
      <c r="D417" s="14">
        <v>2350</v>
      </c>
      <c r="E417" s="6"/>
      <c r="F417" s="6"/>
    </row>
    <row r="418" spans="1:6" x14ac:dyDescent="0.25">
      <c r="A418" s="2" t="s">
        <v>1301</v>
      </c>
      <c r="B418" s="2" t="s">
        <v>1302</v>
      </c>
      <c r="C418" s="2" t="s">
        <v>490</v>
      </c>
      <c r="D418" s="14">
        <v>2950</v>
      </c>
      <c r="E418" s="6"/>
      <c r="F418" s="6"/>
    </row>
    <row r="419" spans="1:6" x14ac:dyDescent="0.25">
      <c r="A419" s="2" t="s">
        <v>1303</v>
      </c>
      <c r="B419" s="2" t="s">
        <v>1304</v>
      </c>
      <c r="C419" s="2" t="s">
        <v>490</v>
      </c>
      <c r="D419" s="14">
        <v>550</v>
      </c>
      <c r="E419" s="6"/>
      <c r="F419" s="6"/>
    </row>
    <row r="420" spans="1:6" x14ac:dyDescent="0.25">
      <c r="A420" s="2" t="s">
        <v>1305</v>
      </c>
      <c r="B420" s="2" t="s">
        <v>1306</v>
      </c>
      <c r="C420" s="2" t="s">
        <v>667</v>
      </c>
      <c r="D420" s="14">
        <v>25</v>
      </c>
      <c r="E420" s="6"/>
      <c r="F420" s="6"/>
    </row>
    <row r="421" spans="1:6" x14ac:dyDescent="0.25">
      <c r="A421" s="2" t="s">
        <v>1307</v>
      </c>
      <c r="B421" s="2" t="s">
        <v>1308</v>
      </c>
      <c r="C421" s="2" t="s">
        <v>801</v>
      </c>
      <c r="D421" s="14">
        <v>220</v>
      </c>
      <c r="E421" s="6"/>
      <c r="F421" s="6"/>
    </row>
    <row r="422" spans="1:6" x14ac:dyDescent="0.25">
      <c r="A422" s="2" t="s">
        <v>1309</v>
      </c>
      <c r="B422" s="2" t="s">
        <v>1310</v>
      </c>
      <c r="C422" s="2" t="s">
        <v>469</v>
      </c>
      <c r="D422" s="14">
        <v>2200</v>
      </c>
      <c r="E422" s="6">
        <v>50</v>
      </c>
      <c r="F422" s="6"/>
    </row>
    <row r="423" spans="1:6" x14ac:dyDescent="0.25">
      <c r="A423" s="2" t="s">
        <v>1311</v>
      </c>
      <c r="B423" s="2" t="s">
        <v>1312</v>
      </c>
      <c r="C423" s="2" t="s">
        <v>448</v>
      </c>
      <c r="D423" s="14">
        <v>200</v>
      </c>
      <c r="E423" s="6"/>
      <c r="F423" s="6"/>
    </row>
    <row r="424" spans="1:6" x14ac:dyDescent="0.25">
      <c r="A424" s="2" t="s">
        <v>1313</v>
      </c>
      <c r="B424" s="2" t="s">
        <v>1314</v>
      </c>
      <c r="C424" s="2" t="s">
        <v>448</v>
      </c>
      <c r="D424" s="14">
        <v>3.2</v>
      </c>
      <c r="E424" s="6"/>
      <c r="F424" s="6"/>
    </row>
    <row r="425" spans="1:6" x14ac:dyDescent="0.25">
      <c r="A425" s="2" t="s">
        <v>1315</v>
      </c>
      <c r="B425" s="2" t="s">
        <v>1316</v>
      </c>
      <c r="C425" s="2" t="s">
        <v>448</v>
      </c>
      <c r="D425" s="14">
        <v>3.2</v>
      </c>
      <c r="E425" s="6"/>
      <c r="F425" s="6"/>
    </row>
    <row r="426" spans="1:6" x14ac:dyDescent="0.25">
      <c r="A426" s="2" t="s">
        <v>1317</v>
      </c>
      <c r="B426" s="2" t="s">
        <v>1318</v>
      </c>
      <c r="C426" s="2" t="s">
        <v>448</v>
      </c>
      <c r="D426" s="14">
        <v>65</v>
      </c>
      <c r="E426" s="6"/>
      <c r="F426" s="6"/>
    </row>
    <row r="427" spans="1:6" x14ac:dyDescent="0.25">
      <c r="A427" s="2" t="s">
        <v>1319</v>
      </c>
      <c r="B427" s="2" t="s">
        <v>1320</v>
      </c>
      <c r="C427" s="2" t="s">
        <v>461</v>
      </c>
      <c r="D427" s="14">
        <v>1475</v>
      </c>
      <c r="E427" s="6"/>
      <c r="F427" s="6"/>
    </row>
    <row r="428" spans="1:6" x14ac:dyDescent="0.25">
      <c r="A428" s="2" t="s">
        <v>1321</v>
      </c>
      <c r="B428" s="2" t="s">
        <v>1322</v>
      </c>
      <c r="C428" s="2" t="s">
        <v>461</v>
      </c>
      <c r="D428" s="14">
        <v>550</v>
      </c>
      <c r="E428" s="6"/>
      <c r="F428" s="6"/>
    </row>
    <row r="429" spans="1:6" x14ac:dyDescent="0.25">
      <c r="A429" s="2" t="s">
        <v>1323</v>
      </c>
      <c r="B429" s="2" t="s">
        <v>1324</v>
      </c>
      <c r="C429" s="2" t="s">
        <v>461</v>
      </c>
      <c r="D429" s="14">
        <v>525</v>
      </c>
      <c r="E429" s="6"/>
      <c r="F429" s="6"/>
    </row>
    <row r="430" spans="1:6" x14ac:dyDescent="0.25">
      <c r="A430" s="2" t="s">
        <v>1325</v>
      </c>
      <c r="B430" s="2" t="s">
        <v>1326</v>
      </c>
      <c r="C430" s="2" t="s">
        <v>461</v>
      </c>
      <c r="D430" s="14">
        <v>550</v>
      </c>
      <c r="E430" s="6"/>
      <c r="F430" s="6"/>
    </row>
    <row r="431" spans="1:6" x14ac:dyDescent="0.25">
      <c r="A431" s="2" t="s">
        <v>1327</v>
      </c>
      <c r="B431" s="2" t="s">
        <v>1328</v>
      </c>
      <c r="C431" s="2" t="s">
        <v>461</v>
      </c>
      <c r="D431" s="14">
        <v>525</v>
      </c>
      <c r="E431" s="6"/>
      <c r="F431" s="6"/>
    </row>
    <row r="432" spans="1:6" x14ac:dyDescent="0.25">
      <c r="A432" s="2" t="s">
        <v>1329</v>
      </c>
      <c r="B432" s="2" t="s">
        <v>1330</v>
      </c>
      <c r="C432" s="2" t="s">
        <v>461</v>
      </c>
      <c r="D432" s="14">
        <v>550</v>
      </c>
      <c r="E432" s="6"/>
      <c r="F432" s="6"/>
    </row>
    <row r="433" spans="1:6" x14ac:dyDescent="0.25">
      <c r="A433" s="2" t="s">
        <v>1331</v>
      </c>
      <c r="B433" s="2" t="s">
        <v>1332</v>
      </c>
      <c r="C433" s="2" t="s">
        <v>461</v>
      </c>
      <c r="D433" s="14">
        <v>500</v>
      </c>
      <c r="E433" s="6"/>
      <c r="F433" s="6"/>
    </row>
    <row r="434" spans="1:6" x14ac:dyDescent="0.25">
      <c r="A434" s="2" t="s">
        <v>1333</v>
      </c>
      <c r="B434" s="2" t="s">
        <v>1334</v>
      </c>
      <c r="C434" s="2" t="s">
        <v>461</v>
      </c>
      <c r="D434" s="14">
        <v>1600</v>
      </c>
      <c r="E434" s="6"/>
      <c r="F434" s="6"/>
    </row>
    <row r="435" spans="1:6" x14ac:dyDescent="0.25">
      <c r="A435" s="2" t="s">
        <v>1335</v>
      </c>
      <c r="B435" s="2" t="s">
        <v>1336</v>
      </c>
      <c r="C435" s="2" t="s">
        <v>461</v>
      </c>
      <c r="D435" s="14">
        <v>400</v>
      </c>
      <c r="E435" s="6"/>
      <c r="F435" s="6"/>
    </row>
    <row r="436" spans="1:6" x14ac:dyDescent="0.25">
      <c r="A436" s="2" t="s">
        <v>1337</v>
      </c>
      <c r="B436" s="2" t="s">
        <v>1338</v>
      </c>
      <c r="C436" s="2" t="s">
        <v>461</v>
      </c>
      <c r="D436" s="14">
        <v>400</v>
      </c>
      <c r="E436" s="6"/>
      <c r="F436" s="6"/>
    </row>
    <row r="437" spans="1:6" x14ac:dyDescent="0.25">
      <c r="A437" s="2" t="s">
        <v>1339</v>
      </c>
      <c r="B437" s="2" t="s">
        <v>1340</v>
      </c>
      <c r="C437" s="2" t="s">
        <v>461</v>
      </c>
      <c r="D437" s="14">
        <v>400</v>
      </c>
      <c r="E437" s="6"/>
      <c r="F437" s="6"/>
    </row>
    <row r="438" spans="1:6" x14ac:dyDescent="0.25">
      <c r="A438" s="2" t="s">
        <v>1341</v>
      </c>
      <c r="B438" s="2" t="s">
        <v>1342</v>
      </c>
      <c r="C438" s="2" t="s">
        <v>461</v>
      </c>
      <c r="D438" s="14">
        <v>1750</v>
      </c>
      <c r="E438" s="6"/>
      <c r="F438" s="6"/>
    </row>
    <row r="439" spans="1:6" x14ac:dyDescent="0.25">
      <c r="A439" s="2" t="s">
        <v>1343</v>
      </c>
      <c r="B439" s="2" t="s">
        <v>1344</v>
      </c>
      <c r="C439" s="2" t="s">
        <v>461</v>
      </c>
      <c r="D439" s="14">
        <v>1750</v>
      </c>
      <c r="E439" s="6"/>
      <c r="F439" s="6"/>
    </row>
    <row r="440" spans="1:6" x14ac:dyDescent="0.25">
      <c r="A440" s="2" t="s">
        <v>1345</v>
      </c>
      <c r="B440" s="2" t="s">
        <v>1346</v>
      </c>
      <c r="C440" s="2" t="s">
        <v>461</v>
      </c>
      <c r="D440" s="14">
        <v>1750</v>
      </c>
      <c r="E440" s="6"/>
      <c r="F440" s="6"/>
    </row>
    <row r="441" spans="1:6" x14ac:dyDescent="0.25">
      <c r="A441" s="2" t="s">
        <v>1347</v>
      </c>
      <c r="B441" s="2" t="s">
        <v>1348</v>
      </c>
      <c r="C441" s="2" t="s">
        <v>461</v>
      </c>
      <c r="D441" s="14">
        <v>130</v>
      </c>
      <c r="E441" s="6"/>
      <c r="F441" s="6"/>
    </row>
    <row r="442" spans="1:6" x14ac:dyDescent="0.25">
      <c r="A442" s="2" t="s">
        <v>1349</v>
      </c>
      <c r="B442" s="2" t="s">
        <v>1350</v>
      </c>
      <c r="C442" s="2" t="s">
        <v>721</v>
      </c>
      <c r="D442" s="14">
        <v>2150</v>
      </c>
      <c r="E442" s="6">
        <v>100</v>
      </c>
      <c r="F442" s="6"/>
    </row>
    <row r="443" spans="1:6" x14ac:dyDescent="0.25">
      <c r="A443" s="2" t="s">
        <v>1351</v>
      </c>
      <c r="B443" s="2" t="s">
        <v>1352</v>
      </c>
      <c r="C443" s="2" t="s">
        <v>519</v>
      </c>
      <c r="D443" s="14">
        <v>3200</v>
      </c>
      <c r="E443" s="6"/>
      <c r="F443" s="6"/>
    </row>
    <row r="444" spans="1:6" x14ac:dyDescent="0.25">
      <c r="A444" s="2" t="s">
        <v>1353</v>
      </c>
      <c r="B444" s="2" t="s">
        <v>1354</v>
      </c>
      <c r="C444" s="2" t="s">
        <v>547</v>
      </c>
      <c r="D444" s="14">
        <v>3100</v>
      </c>
      <c r="E444" s="6">
        <v>2</v>
      </c>
      <c r="F444" s="6"/>
    </row>
    <row r="445" spans="1:6" x14ac:dyDescent="0.25">
      <c r="A445" s="2" t="s">
        <v>1355</v>
      </c>
      <c r="B445" s="2" t="s">
        <v>1356</v>
      </c>
      <c r="C445" s="2" t="s">
        <v>448</v>
      </c>
      <c r="D445" s="14">
        <v>78</v>
      </c>
      <c r="E445" s="6"/>
      <c r="F445" s="6"/>
    </row>
    <row r="446" spans="1:6" x14ac:dyDescent="0.25">
      <c r="A446" s="2" t="s">
        <v>1357</v>
      </c>
      <c r="B446" s="2" t="s">
        <v>1358</v>
      </c>
      <c r="C446" s="2" t="s">
        <v>448</v>
      </c>
      <c r="D446" s="14">
        <v>200</v>
      </c>
      <c r="E446" s="6">
        <v>30</v>
      </c>
      <c r="F446" s="6"/>
    </row>
    <row r="447" spans="1:6" x14ac:dyDescent="0.25">
      <c r="A447" s="2" t="s">
        <v>1359</v>
      </c>
      <c r="B447" s="2" t="s">
        <v>1360</v>
      </c>
      <c r="C447" s="2" t="s">
        <v>448</v>
      </c>
      <c r="D447" s="14">
        <v>125</v>
      </c>
      <c r="E447" s="6"/>
      <c r="F447" s="6"/>
    </row>
    <row r="448" spans="1:6" x14ac:dyDescent="0.25">
      <c r="A448" s="2" t="s">
        <v>1361</v>
      </c>
      <c r="B448" s="2" t="s">
        <v>1362</v>
      </c>
      <c r="C448" s="2" t="s">
        <v>519</v>
      </c>
      <c r="D448" s="14">
        <v>4000</v>
      </c>
      <c r="E448" s="6"/>
      <c r="F448" s="6"/>
    </row>
    <row r="449" spans="1:6" x14ac:dyDescent="0.25">
      <c r="A449" s="2" t="s">
        <v>1363</v>
      </c>
      <c r="B449" s="2" t="s">
        <v>1364</v>
      </c>
      <c r="C449" s="2" t="s">
        <v>586</v>
      </c>
      <c r="D449" s="14">
        <v>1500</v>
      </c>
      <c r="E449" s="6"/>
      <c r="F449" s="6"/>
    </row>
    <row r="450" spans="1:6" x14ac:dyDescent="0.25">
      <c r="A450" s="2" t="s">
        <v>1365</v>
      </c>
      <c r="B450" s="2" t="s">
        <v>1366</v>
      </c>
      <c r="C450" s="2" t="s">
        <v>569</v>
      </c>
      <c r="D450" s="14">
        <v>1800</v>
      </c>
      <c r="E450" s="6"/>
      <c r="F450" s="6">
        <v>10</v>
      </c>
    </row>
    <row r="451" spans="1:6" x14ac:dyDescent="0.25">
      <c r="A451" s="2" t="s">
        <v>1367</v>
      </c>
      <c r="B451" s="2" t="s">
        <v>1368</v>
      </c>
      <c r="C451" s="2" t="s">
        <v>892</v>
      </c>
      <c r="D451" s="14">
        <v>800</v>
      </c>
      <c r="E451" s="6"/>
      <c r="F451" s="6"/>
    </row>
    <row r="452" spans="1:6" x14ac:dyDescent="0.25">
      <c r="A452" s="2" t="s">
        <v>1369</v>
      </c>
      <c r="B452" s="2" t="s">
        <v>1370</v>
      </c>
      <c r="C452" s="2" t="s">
        <v>448</v>
      </c>
      <c r="D452" s="14">
        <v>250</v>
      </c>
      <c r="E452" s="6">
        <v>15</v>
      </c>
      <c r="F452" s="6"/>
    </row>
    <row r="453" spans="1:6" x14ac:dyDescent="0.25">
      <c r="A453" s="2" t="s">
        <v>1160</v>
      </c>
      <c r="B453" s="2" t="s">
        <v>1371</v>
      </c>
      <c r="C453" s="2" t="s">
        <v>1160</v>
      </c>
      <c r="D453" s="14">
        <v>1200</v>
      </c>
      <c r="E453" s="6"/>
      <c r="F453" s="6">
        <v>16</v>
      </c>
    </row>
    <row r="454" spans="1:6" x14ac:dyDescent="0.25">
      <c r="A454" s="2" t="s">
        <v>1372</v>
      </c>
      <c r="B454" s="2" t="s">
        <v>1373</v>
      </c>
      <c r="C454" s="2" t="s">
        <v>448</v>
      </c>
      <c r="D454" s="14">
        <v>1600</v>
      </c>
      <c r="E454" s="6"/>
      <c r="F454" s="6"/>
    </row>
    <row r="455" spans="1:6" x14ac:dyDescent="0.25">
      <c r="A455" s="2" t="s">
        <v>1374</v>
      </c>
      <c r="B455" s="2" t="s">
        <v>1375</v>
      </c>
      <c r="C455" s="2" t="s">
        <v>1137</v>
      </c>
      <c r="D455" s="14">
        <v>2200</v>
      </c>
      <c r="E455" s="6"/>
      <c r="F455" s="6"/>
    </row>
    <row r="456" spans="1:6" x14ac:dyDescent="0.25">
      <c r="A456" s="2" t="s">
        <v>1376</v>
      </c>
      <c r="B456" s="2" t="s">
        <v>1377</v>
      </c>
      <c r="C456" s="2" t="s">
        <v>461</v>
      </c>
      <c r="D456" s="14">
        <v>455</v>
      </c>
      <c r="E456" s="6"/>
      <c r="F456" s="6"/>
    </row>
    <row r="457" spans="1:6" x14ac:dyDescent="0.25">
      <c r="A457" s="2" t="s">
        <v>1378</v>
      </c>
      <c r="B457" s="2" t="s">
        <v>1379</v>
      </c>
      <c r="C457" s="2" t="s">
        <v>461</v>
      </c>
      <c r="D457" s="14">
        <v>865</v>
      </c>
      <c r="E457" s="6"/>
      <c r="F457" s="6"/>
    </row>
    <row r="458" spans="1:6" x14ac:dyDescent="0.25">
      <c r="A458" s="2" t="s">
        <v>1380</v>
      </c>
      <c r="B458" s="2" t="s">
        <v>1381</v>
      </c>
      <c r="C458" s="2" t="s">
        <v>461</v>
      </c>
      <c r="D458" s="14">
        <v>640</v>
      </c>
      <c r="E458" s="6"/>
      <c r="F458" s="6"/>
    </row>
    <row r="459" spans="1:6" x14ac:dyDescent="0.25">
      <c r="A459" s="2" t="s">
        <v>1382</v>
      </c>
      <c r="B459" s="2" t="s">
        <v>1383</v>
      </c>
      <c r="C459" s="2" t="s">
        <v>448</v>
      </c>
      <c r="D459" s="14">
        <v>255</v>
      </c>
      <c r="E459" s="6"/>
      <c r="F459" s="6"/>
    </row>
    <row r="460" spans="1:6" x14ac:dyDescent="0.25">
      <c r="A460" s="2" t="s">
        <v>1384</v>
      </c>
      <c r="B460" s="2" t="s">
        <v>1385</v>
      </c>
      <c r="C460" s="2" t="s">
        <v>448</v>
      </c>
      <c r="D460" s="14">
        <v>715</v>
      </c>
      <c r="E460" s="6"/>
      <c r="F460" s="6"/>
    </row>
    <row r="461" spans="1:6" x14ac:dyDescent="0.25">
      <c r="A461" s="2" t="s">
        <v>1386</v>
      </c>
      <c r="B461" s="2" t="s">
        <v>1387</v>
      </c>
      <c r="C461" s="2" t="s">
        <v>448</v>
      </c>
      <c r="D461" s="14">
        <v>2200</v>
      </c>
      <c r="E461" s="6"/>
      <c r="F461" s="6"/>
    </row>
    <row r="462" spans="1:6" x14ac:dyDescent="0.25">
      <c r="A462" s="2" t="s">
        <v>1388</v>
      </c>
      <c r="B462" s="2" t="s">
        <v>1389</v>
      </c>
      <c r="C462" s="2" t="s">
        <v>760</v>
      </c>
      <c r="D462" s="14">
        <v>895</v>
      </c>
      <c r="E462" s="6"/>
      <c r="F462" s="6"/>
    </row>
    <row r="463" spans="1:6" x14ac:dyDescent="0.25">
      <c r="A463" s="2" t="s">
        <v>1390</v>
      </c>
      <c r="B463" s="2" t="s">
        <v>1391</v>
      </c>
      <c r="C463" s="2" t="s">
        <v>586</v>
      </c>
      <c r="D463" s="14">
        <v>30</v>
      </c>
      <c r="E463" s="6"/>
      <c r="F463" s="6"/>
    </row>
    <row r="464" spans="1:6" x14ac:dyDescent="0.25">
      <c r="A464" s="2" t="s">
        <v>1392</v>
      </c>
      <c r="B464" s="2" t="s">
        <v>1393</v>
      </c>
      <c r="C464" s="2" t="s">
        <v>1394</v>
      </c>
      <c r="D464" s="14">
        <v>1100</v>
      </c>
      <c r="E464" s="6"/>
      <c r="F464" s="6"/>
    </row>
    <row r="465" spans="1:6" x14ac:dyDescent="0.25">
      <c r="A465" s="2" t="s">
        <v>1395</v>
      </c>
      <c r="B465" s="2" t="s">
        <v>1396</v>
      </c>
      <c r="C465" s="2" t="s">
        <v>1394</v>
      </c>
      <c r="D465" s="14">
        <v>300</v>
      </c>
      <c r="E465" s="6"/>
      <c r="F465" s="6"/>
    </row>
    <row r="466" spans="1:6" x14ac:dyDescent="0.25">
      <c r="A466" s="2" t="s">
        <v>1397</v>
      </c>
      <c r="B466" s="2" t="s">
        <v>1398</v>
      </c>
      <c r="C466" s="2" t="s">
        <v>1394</v>
      </c>
      <c r="D466" s="14">
        <v>1400</v>
      </c>
      <c r="E466" s="6"/>
      <c r="F466" s="6"/>
    </row>
    <row r="467" spans="1:6" x14ac:dyDescent="0.25">
      <c r="A467" s="2" t="s">
        <v>1399</v>
      </c>
      <c r="B467" s="2" t="s">
        <v>1400</v>
      </c>
      <c r="C467" s="2" t="s">
        <v>1394</v>
      </c>
      <c r="D467" s="14">
        <v>700</v>
      </c>
      <c r="E467" s="6"/>
      <c r="F467" s="6"/>
    </row>
    <row r="468" spans="1:6" x14ac:dyDescent="0.25">
      <c r="A468" s="2" t="s">
        <v>1401</v>
      </c>
      <c r="B468" s="2" t="s">
        <v>1402</v>
      </c>
      <c r="C468" s="2" t="s">
        <v>448</v>
      </c>
      <c r="D468" s="14">
        <v>80</v>
      </c>
      <c r="E468" s="6"/>
      <c r="F468" s="6"/>
    </row>
    <row r="469" spans="1:6" x14ac:dyDescent="0.25">
      <c r="A469" s="2" t="s">
        <v>1403</v>
      </c>
      <c r="B469" s="2" t="s">
        <v>1404</v>
      </c>
      <c r="C469" s="2" t="s">
        <v>448</v>
      </c>
      <c r="D469" s="14">
        <v>165</v>
      </c>
      <c r="E469" s="6"/>
      <c r="F469" s="6"/>
    </row>
    <row r="470" spans="1:6" x14ac:dyDescent="0.25">
      <c r="A470" s="2" t="s">
        <v>1405</v>
      </c>
      <c r="B470" s="2" t="s">
        <v>1406</v>
      </c>
      <c r="C470" s="2" t="s">
        <v>461</v>
      </c>
      <c r="D470" s="14">
        <v>275</v>
      </c>
      <c r="E470" s="6"/>
      <c r="F470" s="6"/>
    </row>
    <row r="471" spans="1:6" x14ac:dyDescent="0.25">
      <c r="A471" s="2" t="s">
        <v>1407</v>
      </c>
      <c r="B471" s="2" t="s">
        <v>1408</v>
      </c>
      <c r="C471" s="2" t="s">
        <v>461</v>
      </c>
      <c r="D471" s="14">
        <v>950</v>
      </c>
      <c r="E471" s="6"/>
      <c r="F471" s="6"/>
    </row>
    <row r="472" spans="1:6" x14ac:dyDescent="0.25">
      <c r="A472" s="2" t="s">
        <v>1409</v>
      </c>
      <c r="B472" s="2" t="s">
        <v>1410</v>
      </c>
      <c r="C472" s="2" t="s">
        <v>461</v>
      </c>
      <c r="D472" s="14">
        <v>250</v>
      </c>
      <c r="E472" s="6"/>
      <c r="F472" s="6"/>
    </row>
    <row r="473" spans="1:6" x14ac:dyDescent="0.25">
      <c r="A473" s="2" t="s">
        <v>1411</v>
      </c>
      <c r="B473" s="2" t="s">
        <v>1412</v>
      </c>
      <c r="C473" s="2" t="s">
        <v>448</v>
      </c>
      <c r="D473" s="14">
        <v>175</v>
      </c>
      <c r="E473" s="6"/>
      <c r="F473" s="6"/>
    </row>
    <row r="474" spans="1:6" x14ac:dyDescent="0.25">
      <c r="A474" s="2" t="s">
        <v>1413</v>
      </c>
      <c r="B474" s="2" t="s">
        <v>1414</v>
      </c>
      <c r="C474" s="2" t="s">
        <v>448</v>
      </c>
      <c r="D474" s="14">
        <v>175</v>
      </c>
      <c r="E474" s="6"/>
      <c r="F474" s="6"/>
    </row>
    <row r="475" spans="1:6" x14ac:dyDescent="0.25">
      <c r="A475" s="2" t="s">
        <v>1415</v>
      </c>
      <c r="B475" s="2" t="s">
        <v>1416</v>
      </c>
      <c r="C475" s="2" t="s">
        <v>448</v>
      </c>
      <c r="D475" s="14">
        <v>175</v>
      </c>
      <c r="E475" s="6"/>
      <c r="F475" s="6"/>
    </row>
    <row r="476" spans="1:6" x14ac:dyDescent="0.25">
      <c r="A476" s="2" t="s">
        <v>1417</v>
      </c>
      <c r="B476" s="2" t="s">
        <v>1418</v>
      </c>
      <c r="C476" s="2" t="s">
        <v>448</v>
      </c>
      <c r="D476" s="14">
        <v>650</v>
      </c>
      <c r="E476" s="6"/>
      <c r="F476" s="6"/>
    </row>
    <row r="477" spans="1:6" x14ac:dyDescent="0.25">
      <c r="A477" s="2" t="s">
        <v>1419</v>
      </c>
      <c r="B477" s="2" t="s">
        <v>1420</v>
      </c>
      <c r="C477" s="2" t="s">
        <v>721</v>
      </c>
      <c r="D477" s="14">
        <v>850</v>
      </c>
      <c r="E477" s="6">
        <v>50</v>
      </c>
      <c r="F477" s="6"/>
    </row>
    <row r="478" spans="1:6" x14ac:dyDescent="0.25">
      <c r="A478" s="2" t="s">
        <v>1421</v>
      </c>
      <c r="B478" s="2" t="s">
        <v>1422</v>
      </c>
      <c r="C478" s="2" t="s">
        <v>448</v>
      </c>
      <c r="D478" s="14">
        <v>225</v>
      </c>
      <c r="E478" s="6"/>
      <c r="F478" s="6"/>
    </row>
    <row r="479" spans="1:6" x14ac:dyDescent="0.25">
      <c r="A479" s="2" t="s">
        <v>1423</v>
      </c>
      <c r="B479" s="2" t="s">
        <v>1424</v>
      </c>
      <c r="C479" s="2" t="s">
        <v>469</v>
      </c>
      <c r="D479" s="14">
        <v>1895</v>
      </c>
      <c r="E479" s="6">
        <v>30</v>
      </c>
      <c r="F479" s="6"/>
    </row>
    <row r="480" spans="1:6" x14ac:dyDescent="0.25">
      <c r="A480" s="2" t="s">
        <v>1425</v>
      </c>
      <c r="B480" s="2" t="s">
        <v>1426</v>
      </c>
      <c r="C480" s="2" t="s">
        <v>469</v>
      </c>
      <c r="D480" s="14">
        <v>1495</v>
      </c>
      <c r="E480" s="6">
        <v>20</v>
      </c>
      <c r="F480" s="6"/>
    </row>
    <row r="481" spans="1:6" x14ac:dyDescent="0.25">
      <c r="A481" s="2" t="s">
        <v>1427</v>
      </c>
      <c r="B481" s="2" t="s">
        <v>1428</v>
      </c>
      <c r="C481" s="2" t="s">
        <v>469</v>
      </c>
      <c r="D481" s="14">
        <v>1095</v>
      </c>
      <c r="E481" s="6">
        <v>15</v>
      </c>
      <c r="F481" s="6"/>
    </row>
    <row r="482" spans="1:6" x14ac:dyDescent="0.25">
      <c r="A482" s="2" t="s">
        <v>1429</v>
      </c>
      <c r="B482" s="2" t="s">
        <v>1430</v>
      </c>
      <c r="C482" s="2" t="s">
        <v>487</v>
      </c>
      <c r="D482" s="14">
        <v>380</v>
      </c>
      <c r="E482" s="6"/>
      <c r="F482" s="6"/>
    </row>
    <row r="483" spans="1:6" x14ac:dyDescent="0.25">
      <c r="A483" s="2" t="s">
        <v>1431</v>
      </c>
      <c r="B483" s="2" t="s">
        <v>1432</v>
      </c>
      <c r="C483" s="2" t="s">
        <v>487</v>
      </c>
      <c r="D483" s="14">
        <v>420</v>
      </c>
      <c r="E483" s="6"/>
      <c r="F483" s="6"/>
    </row>
    <row r="484" spans="1:6" x14ac:dyDescent="0.25">
      <c r="A484" s="2" t="s">
        <v>1433</v>
      </c>
      <c r="B484" s="2" t="s">
        <v>1434</v>
      </c>
      <c r="C484" s="2" t="s">
        <v>487</v>
      </c>
      <c r="D484" s="14">
        <v>550</v>
      </c>
      <c r="E484" s="6"/>
      <c r="F484" s="6"/>
    </row>
    <row r="485" spans="1:6" x14ac:dyDescent="0.25">
      <c r="A485" s="2" t="s">
        <v>1435</v>
      </c>
      <c r="B485" s="2" t="s">
        <v>1436</v>
      </c>
      <c r="C485" s="2" t="s">
        <v>487</v>
      </c>
      <c r="D485" s="14">
        <v>515</v>
      </c>
      <c r="E485" s="6"/>
      <c r="F485" s="6"/>
    </row>
    <row r="486" spans="1:6" x14ac:dyDescent="0.25">
      <c r="A486" s="2" t="s">
        <v>1437</v>
      </c>
      <c r="B486" s="2" t="s">
        <v>1438</v>
      </c>
      <c r="C486" s="2" t="s">
        <v>448</v>
      </c>
      <c r="D486" s="14">
        <v>20</v>
      </c>
      <c r="E486" s="6"/>
      <c r="F486" s="6"/>
    </row>
    <row r="487" spans="1:6" x14ac:dyDescent="0.25">
      <c r="A487" s="2" t="s">
        <v>1439</v>
      </c>
      <c r="B487" s="2" t="s">
        <v>1440</v>
      </c>
      <c r="C487" s="2" t="s">
        <v>448</v>
      </c>
      <c r="D487" s="14">
        <v>400</v>
      </c>
      <c r="E487" s="6"/>
      <c r="F487" s="6"/>
    </row>
    <row r="488" spans="1:6" x14ac:dyDescent="0.25">
      <c r="A488" s="2" t="s">
        <v>1441</v>
      </c>
      <c r="B488" s="2" t="s">
        <v>1442</v>
      </c>
      <c r="C488" s="2" t="s">
        <v>448</v>
      </c>
      <c r="D488" s="14">
        <v>325</v>
      </c>
      <c r="E488" s="6"/>
      <c r="F488" s="6"/>
    </row>
    <row r="489" spans="1:6" x14ac:dyDescent="0.25">
      <c r="A489" s="2" t="s">
        <v>1443</v>
      </c>
      <c r="B489" s="2" t="s">
        <v>1444</v>
      </c>
      <c r="C489" s="2" t="s">
        <v>448</v>
      </c>
      <c r="D489" s="14">
        <v>30</v>
      </c>
      <c r="E489" s="6"/>
      <c r="F489" s="6"/>
    </row>
    <row r="490" spans="1:6" x14ac:dyDescent="0.25">
      <c r="A490" s="2" t="s">
        <v>1445</v>
      </c>
      <c r="B490" s="2" t="s">
        <v>1446</v>
      </c>
      <c r="C490" s="2" t="s">
        <v>547</v>
      </c>
      <c r="D490" s="14">
        <v>5250</v>
      </c>
      <c r="E490" s="6">
        <v>2</v>
      </c>
      <c r="F490" s="6"/>
    </row>
    <row r="491" spans="1:6" x14ac:dyDescent="0.25">
      <c r="A491" s="2" t="s">
        <v>1447</v>
      </c>
      <c r="B491" s="2" t="s">
        <v>1448</v>
      </c>
      <c r="C491" s="2" t="s">
        <v>448</v>
      </c>
      <c r="D491" s="14">
        <v>4700</v>
      </c>
      <c r="E491" s="6"/>
      <c r="F491" s="6"/>
    </row>
    <row r="492" spans="1:6" x14ac:dyDescent="0.25">
      <c r="A492" s="2" t="s">
        <v>1449</v>
      </c>
      <c r="B492" s="2" t="s">
        <v>1450</v>
      </c>
      <c r="C492" s="2" t="s">
        <v>448</v>
      </c>
      <c r="D492" s="14">
        <v>200</v>
      </c>
      <c r="E492" s="6"/>
      <c r="F492" s="6"/>
    </row>
    <row r="493" spans="1:6" x14ac:dyDescent="0.25">
      <c r="A493" s="2" t="s">
        <v>1451</v>
      </c>
      <c r="B493" s="2" t="s">
        <v>1452</v>
      </c>
      <c r="C493" s="2" t="s">
        <v>448</v>
      </c>
      <c r="D493" s="14">
        <v>38</v>
      </c>
      <c r="E493" s="6"/>
      <c r="F493" s="6">
        <v>3</v>
      </c>
    </row>
    <row r="494" spans="1:6" x14ac:dyDescent="0.25">
      <c r="A494" s="2" t="s">
        <v>1453</v>
      </c>
      <c r="B494" s="2" t="s">
        <v>1454</v>
      </c>
      <c r="C494" s="2" t="s">
        <v>448</v>
      </c>
      <c r="D494" s="14">
        <v>1950</v>
      </c>
      <c r="E494" s="6"/>
      <c r="F494" s="6"/>
    </row>
    <row r="495" spans="1:6" x14ac:dyDescent="0.25">
      <c r="A495" s="2" t="s">
        <v>1455</v>
      </c>
      <c r="B495" s="2" t="s">
        <v>1456</v>
      </c>
      <c r="C495" s="2" t="s">
        <v>461</v>
      </c>
      <c r="D495" s="14">
        <v>7500</v>
      </c>
      <c r="E495" s="6"/>
      <c r="F495" s="6"/>
    </row>
    <row r="496" spans="1:6" x14ac:dyDescent="0.25">
      <c r="A496" s="2" t="s">
        <v>1457</v>
      </c>
      <c r="B496" s="2" t="s">
        <v>1458</v>
      </c>
      <c r="C496" s="2" t="s">
        <v>461</v>
      </c>
      <c r="D496" s="14">
        <v>3500</v>
      </c>
      <c r="E496" s="6"/>
      <c r="F496" s="6"/>
    </row>
    <row r="497" spans="1:6" x14ac:dyDescent="0.25">
      <c r="A497" s="2" t="s">
        <v>1459</v>
      </c>
      <c r="B497" s="2" t="s">
        <v>1460</v>
      </c>
      <c r="C497" s="2" t="s">
        <v>448</v>
      </c>
      <c r="D497" s="14">
        <v>480</v>
      </c>
      <c r="E497" s="6"/>
      <c r="F497" s="6"/>
    </row>
    <row r="498" spans="1:6" x14ac:dyDescent="0.25">
      <c r="A498" s="2" t="s">
        <v>1461</v>
      </c>
      <c r="B498" s="2" t="s">
        <v>1462</v>
      </c>
      <c r="C498" s="2" t="s">
        <v>448</v>
      </c>
      <c r="D498" s="14">
        <v>275</v>
      </c>
      <c r="E498" s="6"/>
      <c r="F498" s="6"/>
    </row>
    <row r="499" spans="1:6" x14ac:dyDescent="0.25">
      <c r="A499" s="2" t="s">
        <v>1463</v>
      </c>
      <c r="B499" s="2" t="s">
        <v>1464</v>
      </c>
      <c r="C499" s="2" t="s">
        <v>448</v>
      </c>
      <c r="D499" s="14">
        <v>70</v>
      </c>
      <c r="E499" s="6"/>
      <c r="F499" s="6"/>
    </row>
    <row r="500" spans="1:6" x14ac:dyDescent="0.25">
      <c r="A500" s="2" t="s">
        <v>1465</v>
      </c>
      <c r="B500" s="2" t="s">
        <v>1466</v>
      </c>
      <c r="C500" s="2" t="s">
        <v>448</v>
      </c>
      <c r="D500" s="14">
        <v>30</v>
      </c>
      <c r="E500" s="6"/>
      <c r="F500" s="6"/>
    </row>
    <row r="501" spans="1:6" x14ac:dyDescent="0.25">
      <c r="A501" s="2" t="s">
        <v>1467</v>
      </c>
      <c r="B501" s="2" t="s">
        <v>1468</v>
      </c>
      <c r="C501" s="2" t="s">
        <v>448</v>
      </c>
      <c r="D501" s="14">
        <v>60</v>
      </c>
      <c r="E501" s="6"/>
      <c r="F501" s="6"/>
    </row>
    <row r="502" spans="1:6" x14ac:dyDescent="0.25">
      <c r="A502" s="2" t="s">
        <v>1469</v>
      </c>
      <c r="B502" s="2" t="s">
        <v>1470</v>
      </c>
      <c r="C502" s="2" t="s">
        <v>519</v>
      </c>
      <c r="D502" s="14">
        <v>40</v>
      </c>
      <c r="E502" s="6"/>
      <c r="F502" s="6"/>
    </row>
    <row r="503" spans="1:6" x14ac:dyDescent="0.25">
      <c r="A503" s="2" t="s">
        <v>1471</v>
      </c>
      <c r="B503" s="2" t="s">
        <v>1472</v>
      </c>
      <c r="C503" s="2" t="s">
        <v>519</v>
      </c>
      <c r="D503" s="14">
        <v>40</v>
      </c>
      <c r="E503" s="6"/>
      <c r="F503" s="6"/>
    </row>
    <row r="504" spans="1:6" x14ac:dyDescent="0.25">
      <c r="A504" s="2" t="s">
        <v>1473</v>
      </c>
      <c r="B504" s="2" t="s">
        <v>1474</v>
      </c>
      <c r="C504" s="2" t="s">
        <v>448</v>
      </c>
      <c r="D504" s="14">
        <v>65</v>
      </c>
      <c r="E504" s="6"/>
      <c r="F504" s="6"/>
    </row>
    <row r="505" spans="1:6" x14ac:dyDescent="0.25">
      <c r="A505" s="2" t="s">
        <v>1475</v>
      </c>
      <c r="B505" s="2" t="s">
        <v>1476</v>
      </c>
      <c r="C505" s="2" t="s">
        <v>519</v>
      </c>
      <c r="D505" s="14">
        <v>120</v>
      </c>
      <c r="E505" s="6"/>
      <c r="F505" s="6"/>
    </row>
    <row r="506" spans="1:6" x14ac:dyDescent="0.25">
      <c r="A506" s="2" t="s">
        <v>1477</v>
      </c>
      <c r="B506" s="2" t="s">
        <v>1478</v>
      </c>
      <c r="C506" s="2" t="s">
        <v>448</v>
      </c>
      <c r="D506" s="14">
        <v>1750</v>
      </c>
      <c r="E506" s="6"/>
      <c r="F506" s="6"/>
    </row>
    <row r="507" spans="1:6" x14ac:dyDescent="0.25">
      <c r="A507" s="2" t="s">
        <v>1479</v>
      </c>
      <c r="B507" s="2" t="s">
        <v>1480</v>
      </c>
      <c r="C507" s="2" t="s">
        <v>448</v>
      </c>
      <c r="D507" s="14">
        <v>550</v>
      </c>
      <c r="E507" s="6"/>
      <c r="F507" s="6"/>
    </row>
    <row r="508" spans="1:6" x14ac:dyDescent="0.25">
      <c r="A508" s="2" t="s">
        <v>1481</v>
      </c>
      <c r="B508" s="2" t="s">
        <v>1482</v>
      </c>
      <c r="C508" s="2" t="s">
        <v>448</v>
      </c>
      <c r="D508" s="14">
        <v>815</v>
      </c>
      <c r="E508" s="6"/>
      <c r="F508" s="6"/>
    </row>
    <row r="509" spans="1:6" x14ac:dyDescent="0.25">
      <c r="A509" s="2" t="s">
        <v>1483</v>
      </c>
      <c r="B509" s="2" t="s">
        <v>1484</v>
      </c>
      <c r="C509" s="2" t="s">
        <v>448</v>
      </c>
      <c r="D509" s="14">
        <v>815</v>
      </c>
      <c r="E509" s="6"/>
      <c r="F509" s="6"/>
    </row>
    <row r="510" spans="1:6" x14ac:dyDescent="0.25">
      <c r="A510" s="2" t="s">
        <v>1485</v>
      </c>
      <c r="B510" s="2" t="s">
        <v>1486</v>
      </c>
      <c r="C510" s="2" t="s">
        <v>448</v>
      </c>
      <c r="D510" s="14">
        <v>790</v>
      </c>
      <c r="E510" s="6"/>
      <c r="F510" s="6"/>
    </row>
    <row r="511" spans="1:6" x14ac:dyDescent="0.25">
      <c r="A511" s="2" t="s">
        <v>1487</v>
      </c>
      <c r="B511" s="2" t="s">
        <v>1488</v>
      </c>
      <c r="C511" s="2" t="s">
        <v>448</v>
      </c>
      <c r="D511" s="14">
        <v>575</v>
      </c>
      <c r="E511" s="6"/>
      <c r="F511" s="6"/>
    </row>
    <row r="512" spans="1:6" x14ac:dyDescent="0.25">
      <c r="A512" s="2" t="s">
        <v>1489</v>
      </c>
      <c r="B512" s="2" t="s">
        <v>1490</v>
      </c>
      <c r="C512" s="2" t="s">
        <v>448</v>
      </c>
      <c r="D512" s="14">
        <v>520</v>
      </c>
      <c r="E512" s="6"/>
      <c r="F512" s="6"/>
    </row>
    <row r="513" spans="1:6" x14ac:dyDescent="0.25">
      <c r="A513" s="2" t="s">
        <v>1491</v>
      </c>
      <c r="B513" s="2" t="s">
        <v>1492</v>
      </c>
      <c r="C513" s="2" t="s">
        <v>448</v>
      </c>
      <c r="D513" s="14">
        <v>240</v>
      </c>
      <c r="E513" s="6"/>
      <c r="F513" s="6"/>
    </row>
    <row r="514" spans="1:6" x14ac:dyDescent="0.25">
      <c r="A514" s="2" t="s">
        <v>1493</v>
      </c>
      <c r="B514" s="2" t="s">
        <v>1494</v>
      </c>
      <c r="C514" s="2" t="s">
        <v>490</v>
      </c>
      <c r="D514" s="14">
        <v>2650</v>
      </c>
      <c r="E514" s="6"/>
      <c r="F514" s="6"/>
    </row>
    <row r="515" spans="1:6" x14ac:dyDescent="0.25">
      <c r="A515" s="2" t="s">
        <v>1495</v>
      </c>
      <c r="B515" s="2" t="s">
        <v>1496</v>
      </c>
      <c r="C515" s="2" t="s">
        <v>490</v>
      </c>
      <c r="D515" s="14">
        <v>9250</v>
      </c>
      <c r="E515" s="6"/>
      <c r="F515" s="6"/>
    </row>
    <row r="516" spans="1:6" x14ac:dyDescent="0.25">
      <c r="A516" s="2" t="s">
        <v>1497</v>
      </c>
      <c r="B516" s="2" t="s">
        <v>1498</v>
      </c>
      <c r="C516" s="2" t="s">
        <v>448</v>
      </c>
      <c r="D516" s="14">
        <v>1200</v>
      </c>
      <c r="E516" s="6"/>
      <c r="F516" s="6"/>
    </row>
    <row r="517" spans="1:6" x14ac:dyDescent="0.25">
      <c r="A517" s="2" t="s">
        <v>1499</v>
      </c>
      <c r="B517" s="2" t="s">
        <v>1500</v>
      </c>
      <c r="C517" s="2" t="s">
        <v>448</v>
      </c>
      <c r="D517" s="14">
        <v>160</v>
      </c>
      <c r="E517" s="6"/>
      <c r="F517" s="6"/>
    </row>
    <row r="518" spans="1:6" x14ac:dyDescent="0.25">
      <c r="A518" s="2" t="s">
        <v>1501</v>
      </c>
      <c r="B518" s="2" t="s">
        <v>1502</v>
      </c>
      <c r="C518" s="2" t="s">
        <v>448</v>
      </c>
      <c r="D518" s="14">
        <v>250</v>
      </c>
      <c r="E518" s="6"/>
      <c r="F518" s="6"/>
    </row>
    <row r="519" spans="1:6" x14ac:dyDescent="0.25">
      <c r="A519" s="2" t="s">
        <v>1503</v>
      </c>
      <c r="B519" s="2" t="s">
        <v>1504</v>
      </c>
      <c r="C519" s="2" t="s">
        <v>448</v>
      </c>
      <c r="D519" s="14">
        <v>750</v>
      </c>
      <c r="E519" s="6"/>
      <c r="F519" s="6">
        <v>10</v>
      </c>
    </row>
    <row r="520" spans="1:6" x14ac:dyDescent="0.25">
      <c r="A520" s="2" t="s">
        <v>1505</v>
      </c>
      <c r="B520" s="2" t="s">
        <v>1506</v>
      </c>
      <c r="C520" s="2" t="s">
        <v>448</v>
      </c>
      <c r="D520" s="14">
        <v>1350</v>
      </c>
      <c r="E520" s="6"/>
      <c r="F520" s="6">
        <v>20</v>
      </c>
    </row>
    <row r="521" spans="1:6" x14ac:dyDescent="0.25">
      <c r="A521" s="2" t="s">
        <v>1507</v>
      </c>
      <c r="B521" s="2" t="s">
        <v>1508</v>
      </c>
      <c r="C521" s="2" t="s">
        <v>448</v>
      </c>
      <c r="D521" s="14">
        <v>1200</v>
      </c>
      <c r="E521" s="6"/>
      <c r="F521" s="6">
        <v>20</v>
      </c>
    </row>
    <row r="522" spans="1:6" x14ac:dyDescent="0.25">
      <c r="A522" s="2" t="s">
        <v>1509</v>
      </c>
      <c r="B522" s="2" t="s">
        <v>1510</v>
      </c>
      <c r="C522" s="2" t="s">
        <v>448</v>
      </c>
      <c r="D522" s="14">
        <v>925</v>
      </c>
      <c r="E522" s="6"/>
      <c r="F522" s="6">
        <v>10</v>
      </c>
    </row>
    <row r="523" spans="1:6" x14ac:dyDescent="0.25">
      <c r="A523" s="2" t="s">
        <v>1511</v>
      </c>
      <c r="B523" s="2" t="s">
        <v>1512</v>
      </c>
      <c r="C523" s="2" t="s">
        <v>448</v>
      </c>
      <c r="D523" s="14">
        <v>925</v>
      </c>
      <c r="E523" s="6"/>
      <c r="F523" s="6">
        <v>10</v>
      </c>
    </row>
    <row r="524" spans="1:6" x14ac:dyDescent="0.25">
      <c r="A524" s="2" t="s">
        <v>1513</v>
      </c>
      <c r="B524" s="2" t="s">
        <v>1514</v>
      </c>
      <c r="C524" s="2" t="s">
        <v>448</v>
      </c>
      <c r="D524" s="14">
        <v>550</v>
      </c>
      <c r="E524" s="6"/>
      <c r="F524" s="6">
        <v>10</v>
      </c>
    </row>
    <row r="525" spans="1:6" x14ac:dyDescent="0.25">
      <c r="A525" s="2" t="s">
        <v>1515</v>
      </c>
      <c r="B525" s="2" t="s">
        <v>1516</v>
      </c>
      <c r="C525" s="2" t="s">
        <v>569</v>
      </c>
      <c r="D525" s="14">
        <v>130</v>
      </c>
      <c r="E525" s="6"/>
      <c r="F525" s="6"/>
    </row>
    <row r="526" spans="1:6" x14ac:dyDescent="0.25">
      <c r="A526" s="2" t="s">
        <v>1517</v>
      </c>
      <c r="B526" s="2" t="s">
        <v>1518</v>
      </c>
      <c r="C526" s="2" t="s">
        <v>448</v>
      </c>
      <c r="D526" s="14">
        <v>1250</v>
      </c>
      <c r="E526" s="6"/>
      <c r="F526" s="6"/>
    </row>
    <row r="527" spans="1:6" x14ac:dyDescent="0.25">
      <c r="A527" s="2" t="s">
        <v>1519</v>
      </c>
      <c r="B527" s="2" t="s">
        <v>1520</v>
      </c>
      <c r="C527" s="2" t="s">
        <v>586</v>
      </c>
      <c r="D527" s="14">
        <v>30</v>
      </c>
      <c r="E527" s="6"/>
      <c r="F527" s="6"/>
    </row>
    <row r="528" spans="1:6" x14ac:dyDescent="0.25">
      <c r="A528" s="2" t="s">
        <v>1521</v>
      </c>
      <c r="B528" s="2" t="s">
        <v>1522</v>
      </c>
      <c r="C528" s="2" t="s">
        <v>469</v>
      </c>
      <c r="D528" s="14">
        <v>1570</v>
      </c>
      <c r="E528" s="6">
        <v>10</v>
      </c>
      <c r="F528" s="6"/>
    </row>
    <row r="529" spans="1:6" x14ac:dyDescent="0.25">
      <c r="A529" s="2" t="s">
        <v>1523</v>
      </c>
      <c r="B529" s="2" t="s">
        <v>1524</v>
      </c>
      <c r="C529" s="2" t="s">
        <v>469</v>
      </c>
      <c r="D529" s="14">
        <v>150</v>
      </c>
      <c r="E529" s="6">
        <v>15</v>
      </c>
      <c r="F529" s="6"/>
    </row>
    <row r="530" spans="1:6" x14ac:dyDescent="0.25">
      <c r="A530" s="2" t="s">
        <v>1525</v>
      </c>
      <c r="B530" s="2" t="s">
        <v>1526</v>
      </c>
      <c r="C530" s="2" t="s">
        <v>547</v>
      </c>
      <c r="D530" s="14">
        <v>3500</v>
      </c>
      <c r="E530" s="6">
        <v>2</v>
      </c>
      <c r="F530" s="6"/>
    </row>
    <row r="531" spans="1:6" x14ac:dyDescent="0.25">
      <c r="A531" s="2" t="s">
        <v>1527</v>
      </c>
      <c r="B531" s="2" t="s">
        <v>1528</v>
      </c>
      <c r="C531" s="2" t="s">
        <v>476</v>
      </c>
      <c r="D531" s="14">
        <v>1250</v>
      </c>
      <c r="E531" s="6">
        <v>1</v>
      </c>
      <c r="F531" s="6"/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7F7F"/>
  </sheetPr>
  <dimension ref="A1:B21"/>
  <sheetFormatPr defaultRowHeight="15" outlineLevelRow="0" outlineLevelCol="0" x14ac:dyDescent="55"/>
  <cols>
    <col min="1" max="1" width="30" customWidth="1"/>
    <col min="2" max="2" width="110" customWidth="1"/>
  </cols>
  <sheetData>
    <row r="1" spans="1:2" x14ac:dyDescent="0.25">
      <c r="A1" s="15" t="s">
        <v>1529</v>
      </c>
      <c r="B1" s="16" t="s">
        <v>20</v>
      </c>
    </row>
    <row r="2" spans="1:2" x14ac:dyDescent="0.25">
      <c r="A2" s="17" t="s">
        <v>20</v>
      </c>
      <c r="B2" s="16" t="s">
        <v>20</v>
      </c>
    </row>
    <row r="3" spans="1:2" x14ac:dyDescent="0.25">
      <c r="A3" s="18" t="s">
        <v>1530</v>
      </c>
      <c r="B3" s="16" t="s">
        <v>1531</v>
      </c>
    </row>
    <row r="4" spans="1:2" x14ac:dyDescent="0.25">
      <c r="A4" s="17" t="s">
        <v>20</v>
      </c>
      <c r="B4" s="16" t="s">
        <v>20</v>
      </c>
    </row>
    <row r="5" spans="1:2" x14ac:dyDescent="0.25">
      <c r="A5" s="18" t="s">
        <v>1532</v>
      </c>
      <c r="B5" s="16" t="s">
        <v>20</v>
      </c>
    </row>
    <row r="6" spans="1:2" x14ac:dyDescent="0.25">
      <c r="A6" s="18" t="s">
        <v>1533</v>
      </c>
      <c r="B6" s="16" t="s">
        <v>1534</v>
      </c>
    </row>
    <row r="7" spans="1:2" x14ac:dyDescent="0.25">
      <c r="A7" s="18" t="s">
        <v>1535</v>
      </c>
      <c r="B7" s="16" t="s">
        <v>1536</v>
      </c>
    </row>
    <row r="8" spans="1:2" x14ac:dyDescent="0.25">
      <c r="A8" s="18" t="s">
        <v>1537</v>
      </c>
      <c r="B8" s="16" t="s">
        <v>1538</v>
      </c>
    </row>
    <row r="9" spans="1:2" x14ac:dyDescent="0.25">
      <c r="A9" s="18" t="s">
        <v>1539</v>
      </c>
      <c r="B9" s="16" t="s">
        <v>1540</v>
      </c>
    </row>
    <row r="10" spans="1:2" x14ac:dyDescent="0.25">
      <c r="A10" s="18" t="s">
        <v>1541</v>
      </c>
      <c r="B10" s="16" t="s">
        <v>1542</v>
      </c>
    </row>
    <row r="11" spans="1:2" x14ac:dyDescent="0.25">
      <c r="A11" s="18" t="s">
        <v>1543</v>
      </c>
      <c r="B11" s="16" t="s">
        <v>1544</v>
      </c>
    </row>
    <row r="12" spans="1:2" x14ac:dyDescent="0.25">
      <c r="A12" s="17" t="s">
        <v>20</v>
      </c>
      <c r="B12" s="16" t="s">
        <v>20</v>
      </c>
    </row>
    <row r="13" spans="1:2" x14ac:dyDescent="0.25">
      <c r="A13" s="18" t="s">
        <v>1545</v>
      </c>
      <c r="B13" s="16" t="s">
        <v>20</v>
      </c>
    </row>
    <row r="14" spans="1:2" x14ac:dyDescent="0.25">
      <c r="A14" s="18" t="s">
        <v>1546</v>
      </c>
      <c r="B14" s="16" t="s">
        <v>1547</v>
      </c>
    </row>
    <row r="15" spans="1:2" x14ac:dyDescent="0.25">
      <c r="A15" s="18" t="s">
        <v>1548</v>
      </c>
      <c r="B15" s="16" t="s">
        <v>1549</v>
      </c>
    </row>
    <row r="16" spans="1:2" x14ac:dyDescent="0.25">
      <c r="A16" s="18" t="s">
        <v>1550</v>
      </c>
      <c r="B16" s="16" t="s">
        <v>1551</v>
      </c>
    </row>
    <row r="17" spans="1:2" x14ac:dyDescent="0.25">
      <c r="A17" s="18" t="s">
        <v>1552</v>
      </c>
      <c r="B17" s="16" t="s">
        <v>1553</v>
      </c>
    </row>
    <row r="18" spans="1:2" x14ac:dyDescent="0.25">
      <c r="A18" s="18" t="s">
        <v>1554</v>
      </c>
      <c r="B18" s="16" t="s">
        <v>1555</v>
      </c>
    </row>
    <row r="19" spans="1:2" x14ac:dyDescent="0.25">
      <c r="A19" s="18" t="s">
        <v>1556</v>
      </c>
      <c r="B19" s="16" t="s">
        <v>1557</v>
      </c>
    </row>
    <row r="20" spans="1:2" x14ac:dyDescent="0.25">
      <c r="A20" s="17" t="s">
        <v>20</v>
      </c>
      <c r="B20" s="16" t="s">
        <v>20</v>
      </c>
    </row>
    <row r="21" spans="1:2" x14ac:dyDescent="0.25">
      <c r="A21" s="18" t="s">
        <v>1558</v>
      </c>
      <c r="B21" s="16" t="s">
        <v>1559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Items</vt:lpstr>
      <vt:lpstr>Importers</vt:lpstr>
      <vt:lpstr>Recipe Ingredients</vt:lpstr>
      <vt:lpstr>Recipes</vt:lpstr>
      <vt:lpstr>Business Types</vt:lpstr>
      <vt:lpstr>Furniture &amp; Equipment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</dc:creator>
  <dc:title/>
  <dc:subject/>
  <dc:description/>
  <cp:keywords/>
  <cp:category/>
  <cp:lastModifiedBy>Unknown</cp:lastModifiedBy>
  <dcterms:created xsi:type="dcterms:W3CDTF">2026-09-27T04:02:39Z</dcterms:created>
  <dcterms:modified xsi:type="dcterms:W3CDTF">2026-09-27T04:02:39Z</dcterms:modified>
</cp:coreProperties>
</file>